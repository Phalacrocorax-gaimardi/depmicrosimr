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e\pkgs\depmicrosimr\inst\ext_data\"/>
    </mc:Choice>
  </mc:AlternateContent>
  <xr:revisionPtr revIDLastSave="0" documentId="13_ncr:1_{6A66E8B3-B4AD-4D7A-B376-376B51742E23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Description" sheetId="7" r:id="rId1"/>
    <sheet name="Base" sheetId="16" r:id="rId2"/>
    <sheet name="EDSC" sheetId="17" r:id="rId3"/>
    <sheet name="LDSC" sheetId="18" r:id="rId4"/>
    <sheet name="LowPrice" sheetId="21" r:id="rId5"/>
    <sheet name="HighPrice" sheetId="1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9" l="1"/>
  <c r="F18" i="19"/>
  <c r="F21" i="21"/>
  <c r="F18" i="21"/>
  <c r="F21" i="18"/>
  <c r="F18" i="18"/>
  <c r="F21" i="17"/>
  <c r="F18" i="17"/>
  <c r="F18" i="16"/>
  <c r="F21" i="16"/>
</calcChain>
</file>

<file path=xl/sharedStrings.xml><?xml version="1.0" encoding="utf-8"?>
<sst xmlns="http://schemas.openxmlformats.org/spreadsheetml/2006/main" count="1006" uniqueCount="146">
  <si>
    <t>category</t>
  </si>
  <si>
    <t>variable</t>
  </si>
  <si>
    <t>parameter</t>
  </si>
  <si>
    <t>value</t>
  </si>
  <si>
    <t>unit</t>
  </si>
  <si>
    <t>comment</t>
  </si>
  <si>
    <t>calibration</t>
  </si>
  <si>
    <t>p.</t>
  </si>
  <si>
    <t>short description</t>
  </si>
  <si>
    <t>tag</t>
  </si>
  <si>
    <t>notes</t>
  </si>
  <si>
    <t>introduction time of dynamic pricing</t>
  </si>
  <si>
    <t>policy</t>
  </si>
  <si>
    <t>dep_introduction</t>
  </si>
  <si>
    <t>market</t>
  </si>
  <si>
    <r>
      <rPr>
        <sz val="11"/>
        <color theme="1"/>
        <rFont val="Arial"/>
        <family val="2"/>
      </rPr>
      <t>€</t>
    </r>
    <r>
      <rPr>
        <sz val="11"/>
        <color theme="1"/>
        <rFont val="Calibri"/>
        <family val="2"/>
        <scheme val="minor"/>
      </rPr>
      <t>/kWh</t>
    </r>
  </si>
  <si>
    <t>introduction time of tou pricing</t>
  </si>
  <si>
    <t>tou_introduction</t>
  </si>
  <si>
    <t>effective date for now (smart meter rollout)</t>
  </si>
  <si>
    <t>2015 standing charge</t>
  </si>
  <si>
    <t>standing_charge_2015</t>
  </si>
  <si>
    <t>euros</t>
  </si>
  <si>
    <t>standing_charge_2022</t>
  </si>
  <si>
    <t>standing_charge_2025</t>
  </si>
  <si>
    <t>standing_charge_2030</t>
  </si>
  <si>
    <t>standing_charge_2040</t>
  </si>
  <si>
    <t>2022 standing charge</t>
  </si>
  <si>
    <t>2025 standing charge</t>
  </si>
  <si>
    <t>2030standing charge</t>
  </si>
  <si>
    <t>2040 standing charge</t>
  </si>
  <si>
    <t>transform scale (in asinh)</t>
  </si>
  <si>
    <t>euro/kWh</t>
  </si>
  <si>
    <t>s.</t>
  </si>
  <si>
    <t>technical</t>
  </si>
  <si>
    <t>night network charge</t>
  </si>
  <si>
    <t>peak network charge</t>
  </si>
  <si>
    <t>day network charge</t>
  </si>
  <si>
    <t>day_network_charge_2020</t>
  </si>
  <si>
    <t>night_network_charge_2020</t>
  </si>
  <si>
    <t>peak_network_charge_2020</t>
  </si>
  <si>
    <t>day_network_charge_2030</t>
  </si>
  <si>
    <t>night_network_charge_2030</t>
  </si>
  <si>
    <t>peak_network_charge_2030</t>
  </si>
  <si>
    <t>regulated grid charges+supplier uplift (costs, margin)</t>
  </si>
  <si>
    <t>15% below 2026 values</t>
  </si>
  <si>
    <t>10% above 2026 values</t>
  </si>
  <si>
    <t>day_network_charge_2026</t>
  </si>
  <si>
    <t>night_network_charge_2026</t>
  </si>
  <si>
    <t>peak_network_charge_2026</t>
  </si>
  <si>
    <t>day_network_charge_2040</t>
  </si>
  <si>
    <t>night_network_charge_2040</t>
  </si>
  <si>
    <t>peak_network_charge_2040</t>
  </si>
  <si>
    <t>2030 sem price</t>
  </si>
  <si>
    <t>2040 sem price</t>
  </si>
  <si>
    <t>sem_price_2030</t>
  </si>
  <si>
    <t>sem_price_2040</t>
  </si>
  <si>
    <t xml:space="preserve">vat rate electricity pre </t>
  </si>
  <si>
    <t>vat rate electricity post</t>
  </si>
  <si>
    <t>old_vat_rate</t>
  </si>
  <si>
    <t>new_vat_rate</t>
  </si>
  <si>
    <t>vat rate post 2030</t>
  </si>
  <si>
    <t>post_2030_vat_rate</t>
  </si>
  <si>
    <t>maximum import capacity</t>
  </si>
  <si>
    <t>mic</t>
  </si>
  <si>
    <t>12kVA or 12kWh</t>
  </si>
  <si>
    <t>2030 dynamic standing charge</t>
  </si>
  <si>
    <t>2040 dynamic standing charge</t>
  </si>
  <si>
    <t>2026 dynamic standing charge</t>
  </si>
  <si>
    <t>sem_price_2026</t>
  </si>
  <si>
    <t>2026 sem price</t>
  </si>
  <si>
    <t>trend price at end of 2025</t>
  </si>
  <si>
    <t>CRU cap in 2026/ Assumed to scale with sem trend price</t>
  </si>
  <si>
    <t>prospect theory</t>
  </si>
  <si>
    <t>pt_alpha</t>
  </si>
  <si>
    <t>pt_beta</t>
  </si>
  <si>
    <t>alpha parameter</t>
  </si>
  <si>
    <t>beta parameter</t>
  </si>
  <si>
    <t>loss averse probability weights</t>
  </si>
  <si>
    <t>confidence in flexiblity  tou</t>
  </si>
  <si>
    <t>confidence in flexiblity outcome dynamic</t>
  </si>
  <si>
    <t>pt_prob_weight_gains</t>
  </si>
  <si>
    <t>pt_certainty_flex_tou</t>
  </si>
  <si>
    <t>pt_certainty_flex_det</t>
  </si>
  <si>
    <t>pain parameter</t>
  </si>
  <si>
    <t>pt_loss_aversion</t>
  </si>
  <si>
    <t>pt_prob_weight_losses</t>
  </si>
  <si>
    <t>max tech adoption barrier</t>
  </si>
  <si>
    <t>flex_alpha.</t>
  </si>
  <si>
    <t>flex_beta.</t>
  </si>
  <si>
    <t>beta &gt; alpha left skew</t>
  </si>
  <si>
    <t>dep_standing_charge_premium_2026</t>
  </si>
  <si>
    <t>dep_standing_charge_premium_2030</t>
  </si>
  <si>
    <t>dep_standing_charge_premium_2040</t>
  </si>
  <si>
    <t>inertia param (p_rate)</t>
  </si>
  <si>
    <t>BASE</t>
  </si>
  <si>
    <t>Base scenario</t>
  </si>
  <si>
    <t>estimate from CRU switching data</t>
  </si>
  <si>
    <t>used to handle negative SEM prices</t>
  </si>
  <si>
    <t>confidence in flexibiity tou (max)</t>
  </si>
  <si>
    <t>pt_certainty_flex_tou_max</t>
  </si>
  <si>
    <t>confidence with zero social reinforcment</t>
  </si>
  <si>
    <t>confidence with full social reinforcement</t>
  </si>
  <si>
    <t>dynamic confidence with zero social refinforement</t>
  </si>
  <si>
    <t>maxmimum allowed value of loss aversion</t>
  </si>
  <si>
    <t>pt_max_loss_aversion</t>
  </si>
  <si>
    <t>minimum allowed value of loss aversion</t>
  </si>
  <si>
    <t>pt_min_loss_aversion</t>
  </si>
  <si>
    <t xml:space="preserve">flex score beta distribution </t>
  </si>
  <si>
    <t xml:space="preserve">flex beta distribution </t>
  </si>
  <si>
    <t>loss_alpha.</t>
  </si>
  <si>
    <t>loss_beta.</t>
  </si>
  <si>
    <t>trend wholesale price at end of 2030</t>
  </si>
  <si>
    <t>CRU 2026 dynamic price cap</t>
  </si>
  <si>
    <t>LDSC</t>
  </si>
  <si>
    <t>Low dynamic standing charge</t>
  </si>
  <si>
    <t>LowPrice</t>
  </si>
  <si>
    <t>HighPrice</t>
  </si>
  <si>
    <t>-75 €</t>
  </si>
  <si>
    <t>+75 €</t>
  </si>
  <si>
    <t>NoToU</t>
  </si>
  <si>
    <t>remove ToU in 2030</t>
  </si>
  <si>
    <t>Battery</t>
  </si>
  <si>
    <t>reduce phi and increase tau so that households become more flexible at each time step</t>
  </si>
  <si>
    <t>random battery uptake model means that flex_score distribution become right-skewed</t>
  </si>
  <si>
    <t>depmicromsimr scenario descriptions</t>
  </si>
  <si>
    <t>label</t>
  </si>
  <si>
    <t>w.</t>
  </si>
  <si>
    <t>flexibility value pass-through parameter used in set_prices()</t>
  </si>
  <si>
    <t>dyn_aware_year</t>
  </si>
  <si>
    <t>year of full awareness of dep</t>
  </si>
  <si>
    <t>year time at which awareness of dynamic pricing is universal. Must be &gt; 2026.5.</t>
  </si>
  <si>
    <t>EDSC</t>
  </si>
  <si>
    <t>30% above 2026</t>
  </si>
  <si>
    <t>dynamic_cap_2026</t>
  </si>
  <si>
    <t>prospect theory not used</t>
  </si>
  <si>
    <t>Equal dynamic standing charge</t>
  </si>
  <si>
    <t>standing charge differential vanishes in 2030</t>
  </si>
  <si>
    <t>standing charge different is -€50</t>
  </si>
  <si>
    <t>parameters defined for "full" scenario.</t>
  </si>
  <si>
    <t>high BESS/EV uptake</t>
  </si>
  <si>
    <t>FlatPrice</t>
  </si>
  <si>
    <t>Wholesale prices flat</t>
  </si>
  <si>
    <t>0.1€/kWh in 2030 and 2040</t>
  </si>
  <si>
    <t>0.1€/kWh in 2030 and 2030 0.15€/kWh in 2040</t>
  </si>
  <si>
    <t xml:space="preserve">More or less the current situation. 75 € DEP standing charge premium </t>
  </si>
  <si>
    <t>price canniblisation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</si>
</sst>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7" tint="0.59999389629810485"/>
        <bgColor indexed="65"/>
      </patternFill>
    </fill>
  </fills>
  <borders count="3">
    <border>
      <left/>
      <right/>
      <top/>
      <bottom/>
      <diagonal/>
    </border>
    <border>
      <left/>
      <right/>
      <top style="dotted">
        <color auto="1"/>
      </top>
      <bottom/>
      <diagonal/>
    </border>
    <border>
      <left/>
      <right/>
      <top/>
      <bottom style="dotted">
        <color auto="1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4" fillId="3" borderId="0" applyNumberFormat="0" applyBorder="0" applyAlignment="0" applyProtection="0"/>
    <xf numFmtId="0" fontId="6" fillId="4" borderId="0" applyNumberFormat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left" vertical="top" wrapText="1"/>
    </xf>
    <xf numFmtId="0" fontId="4" fillId="3" borderId="0" xfId="2"/>
    <xf numFmtId="164" fontId="0" fillId="0" borderId="0" xfId="0" applyNumberFormat="1"/>
    <xf numFmtId="0" fontId="0" fillId="0" borderId="1" xfId="0" applyBorder="1"/>
    <xf numFmtId="0" fontId="4" fillId="3" borderId="1" xfId="2" applyBorder="1"/>
    <xf numFmtId="0" fontId="4" fillId="3" borderId="0" xfId="2" applyBorder="1"/>
    <xf numFmtId="0" fontId="0" fillId="0" borderId="2" xfId="0" applyBorder="1"/>
    <xf numFmtId="0" fontId="4" fillId="3" borderId="2" xfId="2" applyBorder="1"/>
    <xf numFmtId="0" fontId="6" fillId="4" borderId="0" xfId="3"/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4">
    <cellStyle name="40% - Accent4" xfId="3" builtinId="43"/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6B528-ACE0-4AEE-80FE-2144BA4A4410}">
  <dimension ref="A1:D10"/>
  <sheetViews>
    <sheetView showGridLines="0" workbookViewId="0">
      <selection activeCell="D3" sqref="D3"/>
    </sheetView>
  </sheetViews>
  <sheetFormatPr defaultRowHeight="14.4" x14ac:dyDescent="0.3"/>
  <cols>
    <col min="1" max="1" width="26.44140625" style="17" customWidth="1"/>
    <col min="2" max="2" width="37.77734375" style="2" customWidth="1"/>
    <col min="3" max="3" width="43.33203125" style="2" customWidth="1"/>
    <col min="4" max="4" width="33.21875" style="2" customWidth="1"/>
    <col min="5" max="16384" width="8.88671875" style="2"/>
  </cols>
  <sheetData>
    <row r="1" spans="1:4" ht="43.5" customHeight="1" x14ac:dyDescent="0.7">
      <c r="A1" s="16" t="s">
        <v>124</v>
      </c>
    </row>
    <row r="2" spans="1:4" s="4" customFormat="1" x14ac:dyDescent="0.3">
      <c r="A2" s="4" t="s">
        <v>125</v>
      </c>
      <c r="B2" s="4" t="s">
        <v>9</v>
      </c>
      <c r="C2" s="4" t="s">
        <v>8</v>
      </c>
      <c r="D2" s="4" t="s">
        <v>10</v>
      </c>
    </row>
    <row r="3" spans="1:4" ht="28.8" x14ac:dyDescent="0.3">
      <c r="A3" s="14" t="s">
        <v>94</v>
      </c>
      <c r="B3" s="5" t="s">
        <v>95</v>
      </c>
      <c r="C3" s="5" t="s">
        <v>144</v>
      </c>
      <c r="D3" s="5" t="s">
        <v>138</v>
      </c>
    </row>
    <row r="4" spans="1:4" ht="28.8" x14ac:dyDescent="0.3">
      <c r="A4" s="17" t="s">
        <v>131</v>
      </c>
      <c r="B4" s="2" t="s">
        <v>135</v>
      </c>
      <c r="C4" s="15" t="s">
        <v>117</v>
      </c>
      <c r="D4" s="2" t="s">
        <v>136</v>
      </c>
    </row>
    <row r="5" spans="1:4" x14ac:dyDescent="0.3">
      <c r="A5" s="17" t="s">
        <v>113</v>
      </c>
      <c r="B5" s="2" t="s">
        <v>114</v>
      </c>
      <c r="C5" s="15" t="s">
        <v>118</v>
      </c>
      <c r="D5" s="2" t="s">
        <v>137</v>
      </c>
    </row>
    <row r="6" spans="1:4" x14ac:dyDescent="0.3">
      <c r="A6" s="17" t="s">
        <v>140</v>
      </c>
      <c r="B6" s="2" t="s">
        <v>141</v>
      </c>
      <c r="C6" s="15" t="s">
        <v>142</v>
      </c>
    </row>
    <row r="7" spans="1:4" x14ac:dyDescent="0.3">
      <c r="A7" s="17" t="s">
        <v>115</v>
      </c>
      <c r="C7" s="2" t="s">
        <v>143</v>
      </c>
    </row>
    <row r="8" spans="1:4" x14ac:dyDescent="0.3">
      <c r="A8" s="17" t="s">
        <v>116</v>
      </c>
      <c r="C8" s="2" t="s">
        <v>143</v>
      </c>
    </row>
    <row r="9" spans="1:4" x14ac:dyDescent="0.3">
      <c r="A9" s="17" t="s">
        <v>119</v>
      </c>
      <c r="B9" s="2" t="s">
        <v>120</v>
      </c>
    </row>
    <row r="10" spans="1:4" ht="43.2" x14ac:dyDescent="0.3">
      <c r="A10" s="17" t="s">
        <v>121</v>
      </c>
      <c r="B10" s="2" t="s">
        <v>139</v>
      </c>
      <c r="C10" s="2" t="s">
        <v>122</v>
      </c>
      <c r="D10" s="2" t="s">
        <v>123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1679-ADB0-42D7-8103-5D0EB0C9F50E}">
  <dimension ref="A1:F49"/>
  <sheetViews>
    <sheetView topLeftCell="A5" zoomScale="85" zoomScaleNormal="85" workbookViewId="0">
      <selection activeCell="D5" sqref="D5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112</v>
      </c>
      <c r="C7" s="6" t="s">
        <v>133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>
        <v>0.1</v>
      </c>
      <c r="E9" t="s">
        <v>15</v>
      </c>
      <c r="F9" t="s">
        <v>111</v>
      </c>
    </row>
    <row r="10" spans="1:6" x14ac:dyDescent="0.3">
      <c r="A10" t="s">
        <v>14</v>
      </c>
      <c r="B10" t="s">
        <v>53</v>
      </c>
      <c r="C10" s="6" t="s">
        <v>55</v>
      </c>
      <c r="D10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132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75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75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134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100</v>
      </c>
      <c r="F37" s="1"/>
    </row>
    <row r="38" spans="1:6" x14ac:dyDescent="0.3">
      <c r="A38" t="s">
        <v>72</v>
      </c>
      <c r="B38" t="s">
        <v>98</v>
      </c>
      <c r="C38" s="13" t="s">
        <v>99</v>
      </c>
      <c r="D38">
        <v>0.85</v>
      </c>
      <c r="E38" t="s">
        <v>101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102</v>
      </c>
      <c r="F39" s="1"/>
    </row>
    <row r="40" spans="1:6" x14ac:dyDescent="0.3">
      <c r="A40" t="s">
        <v>72</v>
      </c>
      <c r="B40" t="s">
        <v>103</v>
      </c>
      <c r="C40" s="13" t="s">
        <v>104</v>
      </c>
      <c r="D40">
        <v>4.25</v>
      </c>
      <c r="F40" s="1"/>
    </row>
    <row r="41" spans="1:6" x14ac:dyDescent="0.3">
      <c r="A41" t="s">
        <v>72</v>
      </c>
      <c r="B41" t="s">
        <v>105</v>
      </c>
      <c r="C41" s="13" t="s">
        <v>106</v>
      </c>
      <c r="D41">
        <v>1.25</v>
      </c>
      <c r="F41" s="1"/>
    </row>
    <row r="42" spans="1:6" x14ac:dyDescent="0.3">
      <c r="A42" t="s">
        <v>6</v>
      </c>
      <c r="B42" t="s">
        <v>107</v>
      </c>
      <c r="C42" s="3" t="s">
        <v>87</v>
      </c>
      <c r="D42">
        <v>2</v>
      </c>
    </row>
    <row r="43" spans="1:6" x14ac:dyDescent="0.3">
      <c r="A43" t="s">
        <v>6</v>
      </c>
      <c r="B43" t="s">
        <v>108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107</v>
      </c>
      <c r="C44" s="3" t="s">
        <v>109</v>
      </c>
      <c r="D44">
        <v>2</v>
      </c>
    </row>
    <row r="45" spans="1:6" x14ac:dyDescent="0.3">
      <c r="A45" t="s">
        <v>6</v>
      </c>
      <c r="B45" t="s">
        <v>108</v>
      </c>
      <c r="C45" s="3" t="s">
        <v>110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96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97</v>
      </c>
    </row>
    <row r="48" spans="1:6" x14ac:dyDescent="0.3">
      <c r="A48" t="s">
        <v>6</v>
      </c>
      <c r="B48" t="s">
        <v>86</v>
      </c>
      <c r="C48" s="3" t="s">
        <v>126</v>
      </c>
      <c r="D48">
        <v>0.33</v>
      </c>
      <c r="E48" t="s">
        <v>127</v>
      </c>
    </row>
    <row r="49" spans="1:5" x14ac:dyDescent="0.3">
      <c r="A49" t="s">
        <v>6</v>
      </c>
      <c r="B49" t="s">
        <v>129</v>
      </c>
      <c r="C49" s="3" t="s">
        <v>128</v>
      </c>
      <c r="D49">
        <v>2028.5</v>
      </c>
      <c r="E49" t="s">
        <v>130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130B-2B6C-40C3-A565-474237859EF4}">
  <dimension ref="A1:F50"/>
  <sheetViews>
    <sheetView topLeftCell="A2" workbookViewId="0">
      <selection activeCell="D2" sqref="D2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112</v>
      </c>
      <c r="C7" s="6" t="s">
        <v>133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>
        <v>0.1</v>
      </c>
      <c r="E9" t="s">
        <v>15</v>
      </c>
      <c r="F9" t="s">
        <v>111</v>
      </c>
    </row>
    <row r="10" spans="1:6" x14ac:dyDescent="0.3">
      <c r="A10" t="s">
        <v>14</v>
      </c>
      <c r="B10" t="s">
        <v>53</v>
      </c>
      <c r="C10" s="6" t="s">
        <v>55</v>
      </c>
      <c r="D10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132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134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100</v>
      </c>
      <c r="F37" s="1"/>
    </row>
    <row r="38" spans="1:6" x14ac:dyDescent="0.3">
      <c r="A38" t="s">
        <v>72</v>
      </c>
      <c r="B38" t="s">
        <v>98</v>
      </c>
      <c r="C38" s="13" t="s">
        <v>99</v>
      </c>
      <c r="D38">
        <v>0.85</v>
      </c>
      <c r="E38" t="s">
        <v>101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102</v>
      </c>
      <c r="F39" s="1"/>
    </row>
    <row r="40" spans="1:6" x14ac:dyDescent="0.3">
      <c r="A40" t="s">
        <v>72</v>
      </c>
      <c r="B40" t="s">
        <v>103</v>
      </c>
      <c r="C40" s="13" t="s">
        <v>104</v>
      </c>
      <c r="D40">
        <v>4.25</v>
      </c>
      <c r="F40" s="1"/>
    </row>
    <row r="41" spans="1:6" x14ac:dyDescent="0.3">
      <c r="A41" t="s">
        <v>72</v>
      </c>
      <c r="B41" t="s">
        <v>105</v>
      </c>
      <c r="C41" s="13" t="s">
        <v>106</v>
      </c>
      <c r="D41">
        <v>1.25</v>
      </c>
      <c r="F41" s="1"/>
    </row>
    <row r="42" spans="1:6" x14ac:dyDescent="0.3">
      <c r="A42" t="s">
        <v>6</v>
      </c>
      <c r="B42" t="s">
        <v>107</v>
      </c>
      <c r="C42" s="3" t="s">
        <v>87</v>
      </c>
      <c r="D42">
        <v>2</v>
      </c>
    </row>
    <row r="43" spans="1:6" x14ac:dyDescent="0.3">
      <c r="A43" t="s">
        <v>6</v>
      </c>
      <c r="B43" t="s">
        <v>108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107</v>
      </c>
      <c r="C44" s="3" t="s">
        <v>109</v>
      </c>
      <c r="D44">
        <v>2</v>
      </c>
    </row>
    <row r="45" spans="1:6" x14ac:dyDescent="0.3">
      <c r="A45" t="s">
        <v>6</v>
      </c>
      <c r="B45" t="s">
        <v>108</v>
      </c>
      <c r="C45" s="3" t="s">
        <v>110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96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97</v>
      </c>
    </row>
    <row r="48" spans="1:6" x14ac:dyDescent="0.3">
      <c r="A48" t="s">
        <v>6</v>
      </c>
      <c r="B48" t="s">
        <v>86</v>
      </c>
      <c r="C48" s="3" t="s">
        <v>126</v>
      </c>
      <c r="D48">
        <v>0.33</v>
      </c>
      <c r="E48" t="s">
        <v>127</v>
      </c>
    </row>
    <row r="49" spans="1:5" x14ac:dyDescent="0.3">
      <c r="A49" t="s">
        <v>6</v>
      </c>
      <c r="B49" t="s">
        <v>129</v>
      </c>
      <c r="C49" s="3" t="s">
        <v>128</v>
      </c>
      <c r="D49">
        <v>2028.5</v>
      </c>
      <c r="E49" t="s">
        <v>130</v>
      </c>
    </row>
    <row r="50" spans="1:5" x14ac:dyDescent="0.3">
      <c r="A50" t="s">
        <v>6</v>
      </c>
      <c r="B50" t="s">
        <v>129</v>
      </c>
      <c r="C50" s="3" t="s">
        <v>128</v>
      </c>
      <c r="D50">
        <v>2028.5</v>
      </c>
      <c r="E50" t="s">
        <v>130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FF8BC-953A-45D1-A042-B3C357C0F4A0}">
  <dimension ref="A1:F51"/>
  <sheetViews>
    <sheetView topLeftCell="A6" workbookViewId="0">
      <selection activeCell="D6" sqref="D6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112</v>
      </c>
      <c r="C7" s="6" t="s">
        <v>133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>
        <v>0.1</v>
      </c>
      <c r="E9" t="s">
        <v>15</v>
      </c>
      <c r="F9" t="s">
        <v>111</v>
      </c>
    </row>
    <row r="10" spans="1:6" x14ac:dyDescent="0.3">
      <c r="A10" t="s">
        <v>14</v>
      </c>
      <c r="B10" t="s">
        <v>53</v>
      </c>
      <c r="C10" s="6" t="s">
        <v>55</v>
      </c>
      <c r="D10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132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-50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-50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134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100</v>
      </c>
      <c r="F37" s="1"/>
    </row>
    <row r="38" spans="1:6" x14ac:dyDescent="0.3">
      <c r="A38" t="s">
        <v>72</v>
      </c>
      <c r="B38" t="s">
        <v>98</v>
      </c>
      <c r="C38" s="13" t="s">
        <v>99</v>
      </c>
      <c r="D38">
        <v>0.85</v>
      </c>
      <c r="E38" t="s">
        <v>101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102</v>
      </c>
      <c r="F39" s="1"/>
    </row>
    <row r="40" spans="1:6" x14ac:dyDescent="0.3">
      <c r="A40" t="s">
        <v>72</v>
      </c>
      <c r="B40" t="s">
        <v>103</v>
      </c>
      <c r="C40" s="13" t="s">
        <v>104</v>
      </c>
      <c r="D40">
        <v>4.25</v>
      </c>
      <c r="F40" s="1"/>
    </row>
    <row r="41" spans="1:6" x14ac:dyDescent="0.3">
      <c r="A41" t="s">
        <v>72</v>
      </c>
      <c r="B41" t="s">
        <v>105</v>
      </c>
      <c r="C41" s="13" t="s">
        <v>106</v>
      </c>
      <c r="D41">
        <v>1.25</v>
      </c>
      <c r="F41" s="1"/>
    </row>
    <row r="42" spans="1:6" x14ac:dyDescent="0.3">
      <c r="A42" t="s">
        <v>6</v>
      </c>
      <c r="B42" t="s">
        <v>107</v>
      </c>
      <c r="C42" s="3" t="s">
        <v>87</v>
      </c>
      <c r="D42">
        <v>2</v>
      </c>
    </row>
    <row r="43" spans="1:6" x14ac:dyDescent="0.3">
      <c r="A43" t="s">
        <v>6</v>
      </c>
      <c r="B43" t="s">
        <v>108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107</v>
      </c>
      <c r="C44" s="3" t="s">
        <v>109</v>
      </c>
      <c r="D44">
        <v>2</v>
      </c>
    </row>
    <row r="45" spans="1:6" x14ac:dyDescent="0.3">
      <c r="A45" t="s">
        <v>6</v>
      </c>
      <c r="B45" t="s">
        <v>108</v>
      </c>
      <c r="C45" s="3" t="s">
        <v>110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0.03</v>
      </c>
      <c r="E46" t="s">
        <v>96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97</v>
      </c>
    </row>
    <row r="48" spans="1:6" x14ac:dyDescent="0.3">
      <c r="A48" t="s">
        <v>6</v>
      </c>
      <c r="B48" t="s">
        <v>86</v>
      </c>
      <c r="C48" s="3" t="s">
        <v>126</v>
      </c>
      <c r="D48">
        <v>3.3000000000000002E-2</v>
      </c>
      <c r="E48" t="s">
        <v>127</v>
      </c>
    </row>
    <row r="49" spans="1:5" x14ac:dyDescent="0.3">
      <c r="A49" t="s">
        <v>6</v>
      </c>
      <c r="B49" t="s">
        <v>129</v>
      </c>
      <c r="C49" s="3" t="s">
        <v>128</v>
      </c>
      <c r="D49">
        <v>2028.5</v>
      </c>
      <c r="E49" t="s">
        <v>130</v>
      </c>
    </row>
    <row r="50" spans="1:5" x14ac:dyDescent="0.3">
      <c r="A50" t="s">
        <v>6</v>
      </c>
      <c r="B50" t="s">
        <v>86</v>
      </c>
      <c r="C50" s="3" t="s">
        <v>126</v>
      </c>
      <c r="D50">
        <v>0.33</v>
      </c>
      <c r="E50" t="s">
        <v>127</v>
      </c>
    </row>
    <row r="51" spans="1:5" x14ac:dyDescent="0.3">
      <c r="A51" t="s">
        <v>6</v>
      </c>
      <c r="B51" t="s">
        <v>129</v>
      </c>
      <c r="C51" s="3" t="s">
        <v>128</v>
      </c>
      <c r="D51">
        <v>2028.5</v>
      </c>
      <c r="E51" t="s">
        <v>130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B0FBB-7CC2-42FB-B919-41F4158D78FF}">
  <dimension ref="A1:F49"/>
  <sheetViews>
    <sheetView topLeftCell="A4" workbookViewId="0">
      <selection activeCell="E4" sqref="E4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112</v>
      </c>
      <c r="C7" s="6" t="s">
        <v>133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>
        <v>0.1</v>
      </c>
      <c r="E9" t="s">
        <v>15</v>
      </c>
      <c r="F9" t="s">
        <v>111</v>
      </c>
    </row>
    <row r="10" spans="1:6" x14ac:dyDescent="0.3">
      <c r="A10" t="s">
        <v>14</v>
      </c>
      <c r="B10" t="s">
        <v>53</v>
      </c>
      <c r="C10" s="6" t="s">
        <v>55</v>
      </c>
      <c r="D10">
        <v>0.05</v>
      </c>
      <c r="E10" t="s">
        <v>15</v>
      </c>
      <c r="F10" t="s">
        <v>145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132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134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100</v>
      </c>
      <c r="F37" s="1"/>
    </row>
    <row r="38" spans="1:6" x14ac:dyDescent="0.3">
      <c r="A38" t="s">
        <v>72</v>
      </c>
      <c r="B38" t="s">
        <v>98</v>
      </c>
      <c r="C38" s="13" t="s">
        <v>99</v>
      </c>
      <c r="D38">
        <v>0.85</v>
      </c>
      <c r="E38" t="s">
        <v>101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102</v>
      </c>
      <c r="F39" s="1"/>
    </row>
    <row r="40" spans="1:6" x14ac:dyDescent="0.3">
      <c r="A40" t="s">
        <v>72</v>
      </c>
      <c r="B40" t="s">
        <v>103</v>
      </c>
      <c r="C40" s="13" t="s">
        <v>104</v>
      </c>
      <c r="D40">
        <v>4.25</v>
      </c>
      <c r="F40" s="1"/>
    </row>
    <row r="41" spans="1:6" x14ac:dyDescent="0.3">
      <c r="A41" t="s">
        <v>72</v>
      </c>
      <c r="B41" t="s">
        <v>105</v>
      </c>
      <c r="C41" s="13" t="s">
        <v>106</v>
      </c>
      <c r="D41">
        <v>1.25</v>
      </c>
      <c r="F41" s="1"/>
    </row>
    <row r="42" spans="1:6" x14ac:dyDescent="0.3">
      <c r="A42" t="s">
        <v>6</v>
      </c>
      <c r="B42" t="s">
        <v>107</v>
      </c>
      <c r="C42" s="3" t="s">
        <v>87</v>
      </c>
      <c r="D42">
        <v>2</v>
      </c>
    </row>
    <row r="43" spans="1:6" x14ac:dyDescent="0.3">
      <c r="A43" t="s">
        <v>6</v>
      </c>
      <c r="B43" t="s">
        <v>108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107</v>
      </c>
      <c r="C44" s="3" t="s">
        <v>109</v>
      </c>
      <c r="D44">
        <v>2</v>
      </c>
    </row>
    <row r="45" spans="1:6" x14ac:dyDescent="0.3">
      <c r="A45" t="s">
        <v>6</v>
      </c>
      <c r="B45" t="s">
        <v>108</v>
      </c>
      <c r="C45" s="3" t="s">
        <v>110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96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97</v>
      </c>
    </row>
    <row r="48" spans="1:6" x14ac:dyDescent="0.3">
      <c r="A48" t="s">
        <v>6</v>
      </c>
      <c r="B48" t="s">
        <v>86</v>
      </c>
      <c r="C48" s="3" t="s">
        <v>126</v>
      </c>
      <c r="D48">
        <v>0.33</v>
      </c>
      <c r="E48" t="s">
        <v>127</v>
      </c>
    </row>
    <row r="49" spans="1:5" x14ac:dyDescent="0.3">
      <c r="A49" t="s">
        <v>6</v>
      </c>
      <c r="B49" t="s">
        <v>129</v>
      </c>
      <c r="C49" s="3" t="s">
        <v>128</v>
      </c>
      <c r="D49">
        <v>2028.5</v>
      </c>
      <c r="E49" t="s">
        <v>130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651EF-BBD1-4820-B575-600BCC8F4568}">
  <dimension ref="A1:F51"/>
  <sheetViews>
    <sheetView tabSelected="1" workbookViewId="0">
      <selection activeCell="D11" sqref="D11"/>
    </sheetView>
  </sheetViews>
  <sheetFormatPr defaultRowHeight="14.4" x14ac:dyDescent="0.3"/>
  <cols>
    <col min="1" max="1" width="21.88671875" customWidth="1"/>
    <col min="2" max="2" width="40.5546875" customWidth="1"/>
    <col min="3" max="3" width="58.21875" customWidth="1"/>
    <col min="4" max="4" width="14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112</v>
      </c>
      <c r="C7" s="6" t="s">
        <v>133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>
        <v>0.15</v>
      </c>
      <c r="E9" t="s">
        <v>15</v>
      </c>
      <c r="F9" t="s">
        <v>111</v>
      </c>
    </row>
    <row r="10" spans="1:6" x14ac:dyDescent="0.3">
      <c r="A10" t="s">
        <v>14</v>
      </c>
      <c r="B10" t="s">
        <v>53</v>
      </c>
      <c r="C10" s="6" t="s">
        <v>55</v>
      </c>
      <c r="D10">
        <v>0.15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132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134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100</v>
      </c>
      <c r="F37" s="1"/>
    </row>
    <row r="38" spans="1:6" x14ac:dyDescent="0.3">
      <c r="A38" t="s">
        <v>72</v>
      </c>
      <c r="B38" t="s">
        <v>98</v>
      </c>
      <c r="C38" s="13" t="s">
        <v>99</v>
      </c>
      <c r="D38">
        <v>0.85</v>
      </c>
      <c r="E38" t="s">
        <v>101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102</v>
      </c>
      <c r="F39" s="1"/>
    </row>
    <row r="40" spans="1:6" x14ac:dyDescent="0.3">
      <c r="A40" t="s">
        <v>72</v>
      </c>
      <c r="B40" t="s">
        <v>103</v>
      </c>
      <c r="C40" s="13" t="s">
        <v>104</v>
      </c>
      <c r="D40">
        <v>4.25</v>
      </c>
      <c r="F40" s="1"/>
    </row>
    <row r="41" spans="1:6" x14ac:dyDescent="0.3">
      <c r="A41" t="s">
        <v>72</v>
      </c>
      <c r="B41" t="s">
        <v>105</v>
      </c>
      <c r="C41" s="13" t="s">
        <v>106</v>
      </c>
      <c r="D41">
        <v>1.25</v>
      </c>
      <c r="F41" s="1"/>
    </row>
    <row r="42" spans="1:6" x14ac:dyDescent="0.3">
      <c r="A42" t="s">
        <v>6</v>
      </c>
      <c r="B42" t="s">
        <v>107</v>
      </c>
      <c r="C42" s="3" t="s">
        <v>87</v>
      </c>
      <c r="D42">
        <v>2</v>
      </c>
    </row>
    <row r="43" spans="1:6" x14ac:dyDescent="0.3">
      <c r="A43" t="s">
        <v>6</v>
      </c>
      <c r="B43" t="s">
        <v>108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107</v>
      </c>
      <c r="C44" s="3" t="s">
        <v>109</v>
      </c>
      <c r="D44">
        <v>2</v>
      </c>
    </row>
    <row r="45" spans="1:6" x14ac:dyDescent="0.3">
      <c r="A45" t="s">
        <v>6</v>
      </c>
      <c r="B45" t="s">
        <v>108</v>
      </c>
      <c r="C45" s="3" t="s">
        <v>110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0.03</v>
      </c>
      <c r="E46" t="s">
        <v>96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97</v>
      </c>
    </row>
    <row r="48" spans="1:6" x14ac:dyDescent="0.3">
      <c r="A48" t="s">
        <v>6</v>
      </c>
      <c r="B48" t="s">
        <v>86</v>
      </c>
      <c r="C48" s="3" t="s">
        <v>126</v>
      </c>
      <c r="D48">
        <v>3.3000000000000002E-2</v>
      </c>
      <c r="E48" t="s">
        <v>127</v>
      </c>
    </row>
    <row r="49" spans="1:5" x14ac:dyDescent="0.3">
      <c r="A49" t="s">
        <v>6</v>
      </c>
      <c r="B49" t="s">
        <v>129</v>
      </c>
      <c r="C49" s="3" t="s">
        <v>128</v>
      </c>
      <c r="D49">
        <v>2028.5</v>
      </c>
      <c r="E49" t="s">
        <v>130</v>
      </c>
    </row>
    <row r="50" spans="1:5" x14ac:dyDescent="0.3">
      <c r="A50" t="s">
        <v>6</v>
      </c>
      <c r="B50" t="s">
        <v>86</v>
      </c>
      <c r="C50" s="3" t="s">
        <v>126</v>
      </c>
      <c r="D50">
        <v>0.33</v>
      </c>
      <c r="E50" t="s">
        <v>127</v>
      </c>
    </row>
    <row r="51" spans="1:5" x14ac:dyDescent="0.3">
      <c r="A51" t="s">
        <v>6</v>
      </c>
      <c r="B51" t="s">
        <v>129</v>
      </c>
      <c r="C51" s="3" t="s">
        <v>128</v>
      </c>
      <c r="D51">
        <v>2028.5</v>
      </c>
      <c r="E51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Description</vt:lpstr>
      <vt:lpstr>Base</vt:lpstr>
      <vt:lpstr>EDSC</vt:lpstr>
      <vt:lpstr>LDSC</vt:lpstr>
      <vt:lpstr>LowPrice</vt:lpstr>
      <vt:lpstr>HighPrice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</dc:creator>
  <cp:lastModifiedBy>Joe Wheatley</cp:lastModifiedBy>
  <dcterms:created xsi:type="dcterms:W3CDTF">2022-12-20T14:56:50Z</dcterms:created>
  <dcterms:modified xsi:type="dcterms:W3CDTF">2026-10-07T15:56:39Z</dcterms:modified>
</cp:coreProperties>
</file>
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\pkgs\depmicrosimr\inst\ext_data\"/>
    </mc:Choice>
  </mc:AlternateContent>
  <xr:revisionPtr revIDLastSave="0" documentId="13_ncr:1_{D8F39221-EDD6-44CA-8FC1-1870DAA1220B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Description" sheetId="7" r:id="rId1"/>
    <sheet name="Base" sheetId="16" r:id="rId2"/>
    <sheet name="EDSC" sheetId="17" r:id="rId3"/>
    <sheet name="LDSC" sheetId="18" r:id="rId4"/>
    <sheet name="LowPrice" sheetId="21" r:id="rId5"/>
    <sheet name="HighPrice" sheetId="19" r:id="rId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9" l="1"/>
  <c r="F18" i="19"/>
  <c r="F21" i="21"/>
  <c r="F18" i="21"/>
  <c r="F21" i="18"/>
  <c r="F18" i="18"/>
  <c r="F21" i="17"/>
  <c r="F18" i="17"/>
  <c r="F18" i="16"/>
  <c r="F21" i="16"/>
</calcChain>
</file>

<file path=xl/sharedStrings.xml><?xml version="1.0" encoding="utf-8"?>
<sst xmlns="http://schemas.openxmlformats.org/spreadsheetml/2006/main" count="1047" uniqueCount="166">
  <si>
    <t>category</t>
  </si>
  <si>
    <t>variable</t>
  </si>
  <si>
    <t>parameter</t>
  </si>
  <si>
    <t>value</t>
  </si>
  <si>
    <t>unit</t>
  </si>
  <si>
    <t>comment</t>
  </si>
  <si>
    <t>calibration</t>
  </si>
  <si>
    <t>p.</t>
  </si>
  <si>
    <t>short description</t>
  </si>
  <si>
    <t>tag</t>
  </si>
  <si>
    <t>notes</t>
  </si>
  <si>
    <t>introduction time of dynamic pricing</t>
  </si>
  <si>
    <t>policy</t>
  </si>
  <si>
    <t>dep_introduction</t>
  </si>
  <si>
    <t>market</t>
  </si>
  <si>
    <r>
      <rPr>
        <sz val="11"/>
        <color theme="1"/>
        <rFont val="Arial"/>
        <family val="2"/>
      </rPr>
      <t>€</t>
    </r>
    <r>
      <rPr>
        <sz val="11"/>
        <color theme="1"/>
        <rFont val="Calibri"/>
        <family val="2"/>
        <scheme val="minor"/>
      </rPr>
      <t>/kWh</t>
    </r>
  </si>
  <si>
    <t>introduction time of tou pricing</t>
  </si>
  <si>
    <t>tou_introduction</t>
  </si>
  <si>
    <t>effective date for now (smart meter rollout)</t>
  </si>
  <si>
    <t>2015 standing charge</t>
  </si>
  <si>
    <t>standing_charge_2015</t>
  </si>
  <si>
    <t>euros</t>
  </si>
  <si>
    <t>standing_charge_2022</t>
  </si>
  <si>
    <t>standing_charge_2025</t>
  </si>
  <si>
    <t>standing_charge_2030</t>
  </si>
  <si>
    <t>standing_charge_2040</t>
  </si>
  <si>
    <t>2022 standing charge</t>
  </si>
  <si>
    <t>2025 standing charge</t>
  </si>
  <si>
    <t>2030standing charge</t>
  </si>
  <si>
    <t>2040 standing charge</t>
  </si>
  <si>
    <t>transform scale (in asinh)</t>
  </si>
  <si>
    <t>euro/kWh</t>
  </si>
  <si>
    <t>s.</t>
  </si>
  <si>
    <t>technical</t>
  </si>
  <si>
    <t>night network charge</t>
  </si>
  <si>
    <t>peak network charge</t>
  </si>
  <si>
    <t>day network charge</t>
  </si>
  <si>
    <t>day_network_charge_2020</t>
  </si>
  <si>
    <t>night_network_charge_2020</t>
  </si>
  <si>
    <t>peak_network_charge_2020</t>
  </si>
  <si>
    <t>day_network_charge_2030</t>
  </si>
  <si>
    <t>night_network_charge_2030</t>
  </si>
  <si>
    <t>peak_network_charge_2030</t>
  </si>
  <si>
    <t>regulated grid charges+supplier uplift (costs, margin)</t>
  </si>
  <si>
    <t>15% below 2026 values</t>
  </si>
  <si>
    <t>10% above 2026 values</t>
  </si>
  <si>
    <t>day_network_charge_2026</t>
  </si>
  <si>
    <t>night_network_charge_2026</t>
  </si>
  <si>
    <t>peak_network_charge_2026</t>
  </si>
  <si>
    <t>day_network_charge_2040</t>
  </si>
  <si>
    <t>night_network_charge_2040</t>
  </si>
  <si>
    <t>peak_network_charge_2040</t>
  </si>
  <si>
    <t>2030 sem price</t>
  </si>
  <si>
    <t>2040 sem price</t>
  </si>
  <si>
    <t>sem_price_2030</t>
  </si>
  <si>
    <t>sem_price_2040</t>
  </si>
  <si>
    <t xml:space="preserve">vat rate electricity pre </t>
  </si>
  <si>
    <t>vat rate electricity post</t>
  </si>
  <si>
    <t>old_vat_rate</t>
  </si>
  <si>
    <t>new_vat_rate</t>
  </si>
  <si>
    <t>vat rate post 2030</t>
  </si>
  <si>
    <t>post_2030_vat_rate</t>
  </si>
  <si>
    <t>maximum import capacity</t>
  </si>
  <si>
    <t>mic</t>
  </si>
  <si>
    <t>12kVA or 12kWh</t>
  </si>
  <si>
    <t>2030 dynamic standing charge</t>
  </si>
  <si>
    <t>2040 dynamic standing charge</t>
  </si>
  <si>
    <t>2026 dynamic standing charge</t>
  </si>
  <si>
    <t>sem_price_2026</t>
  </si>
  <si>
    <t>2026 sem price</t>
  </si>
  <si>
    <t>trend price at end of 2025</t>
  </si>
  <si>
    <t>CRU cap in 2026/ Assumed to scale with sem trend price</t>
  </si>
  <si>
    <t>prospect theory</t>
  </si>
  <si>
    <t>pt_alpha</t>
  </si>
  <si>
    <t>pt_beta</t>
  </si>
  <si>
    <t>alpha parameter</t>
  </si>
  <si>
    <t>beta parameter</t>
  </si>
  <si>
    <t>loss averse probability weights</t>
  </si>
  <si>
    <t>confidence in flexiblity  tou</t>
  </si>
  <si>
    <t>confidence in flexiblity outcome dynamic</t>
  </si>
  <si>
    <t>pt_prob_weight_gains</t>
  </si>
  <si>
    <t>pt_certainty_flex_tou</t>
  </si>
  <si>
    <t>pt_certainty_flex_det</t>
  </si>
  <si>
    <t>pain parameter</t>
  </si>
  <si>
    <t>pt_loss_aversion</t>
  </si>
  <si>
    <t>pt_prob_weight_losses</t>
  </si>
  <si>
    <t>max tech adoption barrier</t>
  </si>
  <si>
    <t>flex_alpha.</t>
  </si>
  <si>
    <t>flex_beta.</t>
  </si>
  <si>
    <t>beta &gt; alpha left skew</t>
  </si>
  <si>
    <t>dep_standing_charge_premium_2026</t>
  </si>
  <si>
    <t>dep_standing_charge_premium_2030</t>
  </si>
  <si>
    <t>dep_standing_charge_premium_2040</t>
  </si>
  <si>
    <t>inertia param (p_rate)</t>
  </si>
  <si>
    <t>BASE</t>
  </si>
  <si>
    <t>estimate from CRU switching data</t>
  </si>
  <si>
    <t>used to handle negative SEM prices</t>
  </si>
  <si>
    <t>confidence in flexibiity tou (max)</t>
  </si>
  <si>
    <t>pt_certainty_flex_tou_max</t>
  </si>
  <si>
    <t>confidence with zero social reinforcment</t>
  </si>
  <si>
    <t>confidence with full social reinforcement</t>
  </si>
  <si>
    <t>dynamic confidence with zero social refinforement</t>
  </si>
  <si>
    <t>maxmimum allowed value of loss aversion</t>
  </si>
  <si>
    <t>pt_max_loss_aversion</t>
  </si>
  <si>
    <t>minimum allowed value of loss aversion</t>
  </si>
  <si>
    <t>pt_min_loss_aversion</t>
  </si>
  <si>
    <t xml:space="preserve">flex score beta distribution </t>
  </si>
  <si>
    <t xml:space="preserve">flex beta distribution </t>
  </si>
  <si>
    <t>loss_alpha.</t>
  </si>
  <si>
    <t>loss_beta.</t>
  </si>
  <si>
    <t>trend wholesale price at end of 2030</t>
  </si>
  <si>
    <t>CRU 2026 dynamic price cap</t>
  </si>
  <si>
    <t>LDSC</t>
  </si>
  <si>
    <t>LowPrice</t>
  </si>
  <si>
    <t>HighPrice</t>
  </si>
  <si>
    <t>NoToU</t>
  </si>
  <si>
    <t>Battery</t>
  </si>
  <si>
    <t>random battery uptake model means that flex_score distribution become right-skewed</t>
  </si>
  <si>
    <t>label</t>
  </si>
  <si>
    <t>w.</t>
  </si>
  <si>
    <t>flexibility value pass-through parameter used in set_prices()</t>
  </si>
  <si>
    <t>dyn_aware_year</t>
  </si>
  <si>
    <t>year of full awareness of dep</t>
  </si>
  <si>
    <t>year time at which awareness of dynamic pricing is universal. Must be &gt; 2026.5.</t>
  </si>
  <si>
    <t>EDSC</t>
  </si>
  <si>
    <t>30% above 2026</t>
  </si>
  <si>
    <t>dynamic_cap_2026</t>
  </si>
  <si>
    <t>prospect theory not used</t>
  </si>
  <si>
    <t>standing charge differential vanishes in 2030, flat wholesale prices</t>
  </si>
  <si>
    <t>standing charge incentive, flat wholesale prices</t>
  </si>
  <si>
    <t xml:space="preserve">More or less the current situation. 75 € DEP standing charge premium persists, </t>
  </si>
  <si>
    <t>parameters defined for "full" scenario. Flat wholesale prices to 2040 '0.1€/kWh in 2030 and 2040</t>
  </si>
  <si>
    <t>price cannabilisation to 2040</t>
  </si>
  <si>
    <t>high gas, high ets</t>
  </si>
  <si>
    <t>high gas high ets, Impact Assessment gas 0.12</t>
  </si>
  <si>
    <t>high gas, high ets impact assessment has 0.11</t>
  </si>
  <si>
    <t>strong price canniblisation</t>
  </si>
  <si>
    <t>high compared to PRIMES (gas dependence)</t>
  </si>
  <si>
    <t>0.1€/kWh in 2030 and 2030 0.05€/kWh in 2040</t>
  </si>
  <si>
    <t>0.14€/kWh in 2030 and 2030 0.18€/kWh in 2040</t>
  </si>
  <si>
    <t>high gas, high ETS</t>
  </si>
  <si>
    <t>Low price</t>
  </si>
  <si>
    <t>Low dynamic standing charge, flat prices</t>
  </si>
  <si>
    <t>Equal dynamic standing charge, flat prices</t>
  </si>
  <si>
    <t>Base scenario, dynamic premium, flat prices</t>
  </si>
  <si>
    <t>High price</t>
  </si>
  <si>
    <t>cheap flexibility, high BESS/EV uptake</t>
  </si>
  <si>
    <t>Shock</t>
  </si>
  <si>
    <t xml:space="preserve">agents must switch to </t>
  </si>
  <si>
    <t>reduce flexibility costs for agents gamma randomly (towards 2€/kWh)</t>
  </si>
  <si>
    <t>Base scenario + 2030 x4 price shock</t>
  </si>
  <si>
    <t>require all agents to switch to flat/dynamic at specific time</t>
  </si>
  <si>
    <t>remove ToU</t>
  </si>
  <si>
    <t>0€ premium in 2030 and 2040</t>
  </si>
  <si>
    <t>-50€ discount in 2030 and 2040</t>
  </si>
  <si>
    <t>eta.</t>
  </si>
  <si>
    <t>default inflexible fraction</t>
  </si>
  <si>
    <t>default ramping cost</t>
  </si>
  <si>
    <t>phi.</t>
  </si>
  <si>
    <t>EDSC_sens</t>
  </si>
  <si>
    <t>EDSC sensitiviy</t>
  </si>
  <si>
    <t>varies phi and eta values</t>
  </si>
  <si>
    <t>NB: MODEL RECALIBRATION REQUIRED</t>
  </si>
  <si>
    <t>foresight</t>
  </si>
  <si>
    <t>perfect hindsight model</t>
  </si>
  <si>
    <t>depmicromsimr scenario descriptions - less flexible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</si>
</sst>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\ [$€-1];[Red]\-#,##0\ [$€-1]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28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6" tint="0.79998168889431442"/>
        <bgColor indexed="65"/>
      </patternFill>
    </fill>
  </fills>
  <borders count="3">
    <border>
      <left/>
      <right/>
      <top/>
      <bottom/>
      <diagonal/>
    </border>
    <border>
      <left/>
      <right/>
      <top style="dotted">
        <color auto="1"/>
      </top>
      <bottom/>
      <diagonal/>
    </border>
    <border>
      <left/>
      <right/>
      <top/>
      <bottom style="dotted">
        <color auto="1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4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left" vertical="top" wrapText="1"/>
    </xf>
    <xf numFmtId="0" fontId="4" fillId="3" borderId="0" xfId="2"/>
    <xf numFmtId="164" fontId="0" fillId="0" borderId="0" xfId="0" applyNumberFormat="1"/>
    <xf numFmtId="0" fontId="0" fillId="0" borderId="1" xfId="0" applyBorder="1"/>
    <xf numFmtId="0" fontId="4" fillId="3" borderId="1" xfId="2" applyBorder="1"/>
    <xf numFmtId="0" fontId="4" fillId="3" borderId="0" xfId="2" applyBorder="1"/>
    <xf numFmtId="0" fontId="0" fillId="0" borderId="2" xfId="0" applyBorder="1"/>
    <xf numFmtId="0" fontId="4" fillId="3" borderId="2" xfId="2" applyBorder="1"/>
    <xf numFmtId="0" fontId="6" fillId="4" borderId="0" xfId="3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  <xf numFmtId="165" fontId="0" fillId="0" borderId="0" xfId="0" quotePrefix="1" applyNumberFormat="1" applyAlignment="1">
      <alignment wrapText="1"/>
    </xf>
    <xf numFmtId="0" fontId="6" fillId="5" borderId="0" xfId="4"/>
    <xf numFmtId="0" fontId="3" fillId="0" borderId="0" xfId="0" applyFont="1" applyAlignment="1">
      <alignment horizontal="center" wrapText="1"/>
    </xf>
    <xf numFmtId="0" fontId="7" fillId="0" borderId="0" xfId="0" applyFont="1" applyAlignment="1">
      <alignment wrapText="1"/>
    </xf>
  </cellXfs>
  <cellStyles count="5">
    <cellStyle name="20% - Accent3" xfId="4" builtinId="38"/>
    <cellStyle name="40% - Accent4" xfId="3" builtinId="43"/>
    <cellStyle name="Bad" xfId="1" builtinId="27"/>
    <cellStyle name="Good" xfId="2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6B528-ACE0-4AEE-80FE-2144BA4A4410}">
  <dimension ref="A1:D11"/>
  <sheetViews>
    <sheetView showGridLines="0" workbookViewId="0">
      <selection activeCell="B1" sqref="B1"/>
    </sheetView>
  </sheetViews>
  <sheetFormatPr defaultRowHeight="33.6" customHeight="1" x14ac:dyDescent="0.3"/>
  <cols>
    <col min="1" max="1" width="71.88671875" style="15" customWidth="1"/>
    <col min="2" max="2" width="37.77734375" style="2" customWidth="1"/>
    <col min="3" max="3" width="43.33203125" style="2" customWidth="1"/>
    <col min="4" max="4" width="57.109375" style="2" customWidth="1"/>
    <col min="5" max="16384" width="8.88671875" style="2"/>
  </cols>
  <sheetData>
    <row r="1" spans="1:4" ht="65.400000000000006" customHeight="1" x14ac:dyDescent="0.7">
      <c r="A1" s="18" t="s">
        <v>165</v>
      </c>
      <c r="B1" s="19"/>
    </row>
    <row r="2" spans="1:4" s="4" customFormat="1" ht="33.6" customHeight="1" x14ac:dyDescent="0.3">
      <c r="A2" s="4" t="s">
        <v>118</v>
      </c>
      <c r="B2" s="4" t="s">
        <v>9</v>
      </c>
      <c r="C2" s="4" t="s">
        <v>8</v>
      </c>
      <c r="D2" s="4" t="s">
        <v>10</v>
      </c>
    </row>
    <row r="3" spans="1:4" ht="33.6" customHeight="1" x14ac:dyDescent="0.3">
      <c r="A3" s="14" t="s">
        <v>94</v>
      </c>
      <c r="B3" s="5" t="s">
        <v>144</v>
      </c>
      <c r="C3" s="5" t="s">
        <v>130</v>
      </c>
      <c r="D3" s="5" t="s">
        <v>131</v>
      </c>
    </row>
    <row r="4" spans="1:4" ht="33.6" customHeight="1" x14ac:dyDescent="0.3">
      <c r="A4" s="15" t="s">
        <v>124</v>
      </c>
      <c r="B4" s="2" t="s">
        <v>143</v>
      </c>
      <c r="C4" s="16" t="s">
        <v>153</v>
      </c>
      <c r="D4" s="2" t="s">
        <v>128</v>
      </c>
    </row>
    <row r="5" spans="1:4" ht="33.6" customHeight="1" x14ac:dyDescent="0.3">
      <c r="A5" s="15" t="s">
        <v>112</v>
      </c>
      <c r="B5" s="2" t="s">
        <v>142</v>
      </c>
      <c r="C5" s="16" t="s">
        <v>154</v>
      </c>
      <c r="D5" s="2" t="s">
        <v>129</v>
      </c>
    </row>
    <row r="6" spans="1:4" ht="33.6" customHeight="1" x14ac:dyDescent="0.3">
      <c r="A6" s="15" t="s">
        <v>113</v>
      </c>
      <c r="B6" s="2" t="s">
        <v>141</v>
      </c>
      <c r="C6" s="2" t="s">
        <v>138</v>
      </c>
      <c r="D6" s="2" t="s">
        <v>132</v>
      </c>
    </row>
    <row r="7" spans="1:4" ht="33.6" customHeight="1" x14ac:dyDescent="0.3">
      <c r="A7" s="15" t="s">
        <v>114</v>
      </c>
      <c r="B7" s="2" t="s">
        <v>145</v>
      </c>
      <c r="C7" s="2" t="s">
        <v>139</v>
      </c>
      <c r="D7" s="2" t="s">
        <v>140</v>
      </c>
    </row>
    <row r="8" spans="1:4" ht="33.6" customHeight="1" x14ac:dyDescent="0.3">
      <c r="A8" s="15" t="s">
        <v>115</v>
      </c>
      <c r="B8" s="2" t="s">
        <v>152</v>
      </c>
      <c r="C8" s="2" t="s">
        <v>148</v>
      </c>
      <c r="D8" s="2" t="s">
        <v>151</v>
      </c>
    </row>
    <row r="9" spans="1:4" ht="33.6" customHeight="1" x14ac:dyDescent="0.3">
      <c r="A9" s="15" t="s">
        <v>116</v>
      </c>
      <c r="B9" s="2" t="s">
        <v>146</v>
      </c>
      <c r="C9" s="2" t="s">
        <v>149</v>
      </c>
      <c r="D9" s="2" t="s">
        <v>117</v>
      </c>
    </row>
    <row r="10" spans="1:4" ht="33.6" customHeight="1" x14ac:dyDescent="0.3">
      <c r="A10" s="15" t="s">
        <v>147</v>
      </c>
      <c r="B10" s="2" t="s">
        <v>150</v>
      </c>
    </row>
    <row r="11" spans="1:4" ht="33.6" customHeight="1" x14ac:dyDescent="0.3">
      <c r="A11" s="15" t="s">
        <v>159</v>
      </c>
      <c r="B11" s="2" t="s">
        <v>160</v>
      </c>
      <c r="C11" s="2" t="s">
        <v>161</v>
      </c>
      <c r="D11" s="2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1679-ADB0-42D7-8103-5D0EB0C9F50E}">
  <dimension ref="A1:F52"/>
  <sheetViews>
    <sheetView topLeftCell="A25" zoomScale="85" zoomScaleNormal="85" workbookViewId="0">
      <selection activeCell="D53" sqref="D53"/>
    </sheetView>
  </sheetViews>
  <sheetFormatPr defaultRowHeight="14.4" x14ac:dyDescent="0.3"/>
  <cols>
    <col min="1" max="1" width="14.6640625" customWidth="1"/>
    <col min="2" max="2" width="41.88671875" customWidth="1"/>
    <col min="3" max="3" width="55" customWidth="1"/>
    <col min="4" max="4" width="16.5546875" customWidth="1"/>
    <col min="5" max="5" width="9.109375" customWidth="1"/>
    <col min="6" max="6" width="22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12</v>
      </c>
      <c r="B2" t="s">
        <v>11</v>
      </c>
      <c r="C2" s="6" t="s">
        <v>13</v>
      </c>
      <c r="D2">
        <v>2026.5</v>
      </c>
      <c r="F2" s="1"/>
    </row>
    <row r="3" spans="1:6" x14ac:dyDescent="0.3">
      <c r="A3" t="s">
        <v>12</v>
      </c>
      <c r="B3" t="s">
        <v>16</v>
      </c>
      <c r="C3" s="6" t="s">
        <v>17</v>
      </c>
      <c r="D3">
        <v>2021</v>
      </c>
      <c r="F3" t="s">
        <v>18</v>
      </c>
    </row>
    <row r="4" spans="1:6" x14ac:dyDescent="0.3">
      <c r="A4" t="s">
        <v>12</v>
      </c>
      <c r="B4" t="s">
        <v>56</v>
      </c>
      <c r="C4" s="6" t="s">
        <v>58</v>
      </c>
      <c r="D4">
        <v>0.13500000000000001</v>
      </c>
    </row>
    <row r="5" spans="1:6" x14ac:dyDescent="0.3">
      <c r="A5" t="s">
        <v>12</v>
      </c>
      <c r="B5" t="s">
        <v>57</v>
      </c>
      <c r="C5" s="6" t="s">
        <v>59</v>
      </c>
      <c r="D5">
        <v>0.09</v>
      </c>
    </row>
    <row r="6" spans="1:6" x14ac:dyDescent="0.3">
      <c r="A6" t="s">
        <v>12</v>
      </c>
      <c r="B6" t="s">
        <v>60</v>
      </c>
      <c r="C6" s="6" t="s">
        <v>61</v>
      </c>
      <c r="D6">
        <v>0.13500000000000001</v>
      </c>
    </row>
    <row r="7" spans="1:6" x14ac:dyDescent="0.3">
      <c r="A7" t="s">
        <v>12</v>
      </c>
      <c r="B7" t="s">
        <v>111</v>
      </c>
      <c r="C7" s="6" t="s">
        <v>126</v>
      </c>
      <c r="D7">
        <v>0.5</v>
      </c>
      <c r="E7" t="s">
        <v>15</v>
      </c>
      <c r="F7" t="s">
        <v>71</v>
      </c>
    </row>
    <row r="8" spans="1:6" x14ac:dyDescent="0.3">
      <c r="A8" t="s">
        <v>14</v>
      </c>
      <c r="B8" t="s">
        <v>69</v>
      </c>
      <c r="C8" s="6" t="s">
        <v>68</v>
      </c>
      <c r="D8" s="17">
        <v>9.2999999999999999E-2</v>
      </c>
      <c r="E8" t="s">
        <v>15</v>
      </c>
      <c r="F8" t="s">
        <v>70</v>
      </c>
    </row>
    <row r="9" spans="1:6" x14ac:dyDescent="0.3">
      <c r="A9" t="s">
        <v>14</v>
      </c>
      <c r="B9" t="s">
        <v>52</v>
      </c>
      <c r="C9" s="6" t="s">
        <v>54</v>
      </c>
      <c r="D9" s="17">
        <v>0.1</v>
      </c>
      <c r="E9" t="s">
        <v>15</v>
      </c>
      <c r="F9" t="s">
        <v>110</v>
      </c>
    </row>
    <row r="10" spans="1:6" x14ac:dyDescent="0.3">
      <c r="A10" t="s">
        <v>14</v>
      </c>
      <c r="B10" t="s">
        <v>53</v>
      </c>
      <c r="C10" s="6" t="s">
        <v>55</v>
      </c>
      <c r="D10" s="17">
        <v>0.1</v>
      </c>
      <c r="E10" t="s">
        <v>15</v>
      </c>
      <c r="F10" s="1"/>
    </row>
    <row r="11" spans="1:6" x14ac:dyDescent="0.3">
      <c r="A11" s="8" t="s">
        <v>14</v>
      </c>
      <c r="B11" s="8" t="s">
        <v>36</v>
      </c>
      <c r="C11" s="9" t="s">
        <v>37</v>
      </c>
      <c r="D11" s="7">
        <v>0.16838500000000001</v>
      </c>
      <c r="E11" t="s">
        <v>15</v>
      </c>
      <c r="F11" t="s">
        <v>44</v>
      </c>
    </row>
    <row r="12" spans="1:6" x14ac:dyDescent="0.3">
      <c r="A12" t="s">
        <v>14</v>
      </c>
      <c r="B12" t="s">
        <v>34</v>
      </c>
      <c r="C12" s="10" t="s">
        <v>38</v>
      </c>
      <c r="D12" s="7">
        <v>7.2419999999999998E-2</v>
      </c>
      <c r="E12" t="s">
        <v>15</v>
      </c>
    </row>
    <row r="13" spans="1:6" x14ac:dyDescent="0.3">
      <c r="A13" s="11" t="s">
        <v>14</v>
      </c>
      <c r="B13" s="11" t="s">
        <v>35</v>
      </c>
      <c r="C13" s="12" t="s">
        <v>39</v>
      </c>
      <c r="D13" s="7">
        <v>0.19167500000000001</v>
      </c>
      <c r="E13" t="s">
        <v>15</v>
      </c>
    </row>
    <row r="14" spans="1:6" x14ac:dyDescent="0.3">
      <c r="A14" s="8" t="s">
        <v>14</v>
      </c>
      <c r="B14" s="8" t="s">
        <v>36</v>
      </c>
      <c r="C14" s="9" t="s">
        <v>46</v>
      </c>
      <c r="D14">
        <v>0.1981</v>
      </c>
      <c r="E14" t="s">
        <v>15</v>
      </c>
      <c r="F14" t="s">
        <v>43</v>
      </c>
    </row>
    <row r="15" spans="1:6" x14ac:dyDescent="0.3">
      <c r="A15" t="s">
        <v>14</v>
      </c>
      <c r="B15" t="s">
        <v>34</v>
      </c>
      <c r="C15" s="10" t="s">
        <v>47</v>
      </c>
      <c r="D15">
        <v>8.5199999999999998E-2</v>
      </c>
      <c r="E15" t="s">
        <v>15</v>
      </c>
    </row>
    <row r="16" spans="1:6" x14ac:dyDescent="0.3">
      <c r="A16" s="11" t="s">
        <v>14</v>
      </c>
      <c r="B16" s="11" t="s">
        <v>35</v>
      </c>
      <c r="C16" s="12" t="s">
        <v>48</v>
      </c>
      <c r="D16">
        <v>0.22550000000000001</v>
      </c>
      <c r="E16" t="s">
        <v>15</v>
      </c>
    </row>
    <row r="17" spans="1:6" x14ac:dyDescent="0.3">
      <c r="A17" s="8" t="s">
        <v>14</v>
      </c>
      <c r="B17" s="8" t="s">
        <v>36</v>
      </c>
      <c r="C17" s="9" t="s">
        <v>40</v>
      </c>
      <c r="D17" s="7">
        <v>0.21791000000000002</v>
      </c>
      <c r="E17" t="s">
        <v>15</v>
      </c>
      <c r="F17" t="s">
        <v>45</v>
      </c>
    </row>
    <row r="18" spans="1:6" x14ac:dyDescent="0.3">
      <c r="A18" t="s">
        <v>14</v>
      </c>
      <c r="B18" t="s">
        <v>34</v>
      </c>
      <c r="C18" s="10" t="s">
        <v>41</v>
      </c>
      <c r="D18" s="7">
        <v>0.10501000000000002</v>
      </c>
      <c r="E18" t="s">
        <v>15</v>
      </c>
      <c r="F18" s="7">
        <f>D17-D14</f>
        <v>1.9810000000000022E-2</v>
      </c>
    </row>
    <row r="19" spans="1:6" x14ac:dyDescent="0.3">
      <c r="A19" s="11" t="s">
        <v>14</v>
      </c>
      <c r="B19" s="11" t="s">
        <v>35</v>
      </c>
      <c r="C19" s="12" t="s">
        <v>42</v>
      </c>
      <c r="D19" s="7">
        <v>0.24531000000000003</v>
      </c>
      <c r="E19" t="s">
        <v>15</v>
      </c>
    </row>
    <row r="20" spans="1:6" x14ac:dyDescent="0.3">
      <c r="A20" s="8" t="s">
        <v>14</v>
      </c>
      <c r="B20" s="8" t="s">
        <v>36</v>
      </c>
      <c r="C20" s="9" t="s">
        <v>49</v>
      </c>
      <c r="D20" s="7">
        <v>0.25752999999999998</v>
      </c>
      <c r="E20" t="s">
        <v>15</v>
      </c>
      <c r="F20" t="s">
        <v>125</v>
      </c>
    </row>
    <row r="21" spans="1:6" x14ac:dyDescent="0.3">
      <c r="A21" t="s">
        <v>14</v>
      </c>
      <c r="B21" t="s">
        <v>34</v>
      </c>
      <c r="C21" s="10" t="s">
        <v>50</v>
      </c>
      <c r="D21" s="7">
        <v>0.14462999999999998</v>
      </c>
      <c r="E21" t="s">
        <v>15</v>
      </c>
      <c r="F21" s="7">
        <f>(D20-D14)</f>
        <v>5.9429999999999983E-2</v>
      </c>
    </row>
    <row r="22" spans="1:6" x14ac:dyDescent="0.3">
      <c r="A22" s="11" t="s">
        <v>14</v>
      </c>
      <c r="B22" s="11" t="s">
        <v>35</v>
      </c>
      <c r="C22" s="12" t="s">
        <v>51</v>
      </c>
      <c r="D22" s="7">
        <v>0.28493000000000002</v>
      </c>
      <c r="E22" t="s">
        <v>15</v>
      </c>
      <c r="F22" s="7"/>
    </row>
    <row r="23" spans="1:6" x14ac:dyDescent="0.3">
      <c r="A23" t="s">
        <v>14</v>
      </c>
      <c r="B23" t="s">
        <v>19</v>
      </c>
      <c r="C23" s="6" t="s">
        <v>20</v>
      </c>
      <c r="D23">
        <v>130</v>
      </c>
      <c r="E23" t="s">
        <v>21</v>
      </c>
      <c r="F23" s="1"/>
    </row>
    <row r="24" spans="1:6" x14ac:dyDescent="0.3">
      <c r="A24" t="s">
        <v>14</v>
      </c>
      <c r="B24" t="s">
        <v>26</v>
      </c>
      <c r="C24" s="6" t="s">
        <v>22</v>
      </c>
      <c r="D24">
        <v>215</v>
      </c>
      <c r="F24" s="1"/>
    </row>
    <row r="25" spans="1:6" x14ac:dyDescent="0.3">
      <c r="A25" t="s">
        <v>14</v>
      </c>
      <c r="B25" t="s">
        <v>27</v>
      </c>
      <c r="C25" s="6" t="s">
        <v>23</v>
      </c>
      <c r="D25">
        <v>265</v>
      </c>
      <c r="F25" s="1"/>
    </row>
    <row r="26" spans="1:6" x14ac:dyDescent="0.3">
      <c r="A26" t="s">
        <v>14</v>
      </c>
      <c r="B26" t="s">
        <v>28</v>
      </c>
      <c r="C26" s="6" t="s">
        <v>24</v>
      </c>
      <c r="D26">
        <v>320</v>
      </c>
      <c r="F26" s="1"/>
    </row>
    <row r="27" spans="1:6" x14ac:dyDescent="0.3">
      <c r="A27" t="s">
        <v>14</v>
      </c>
      <c r="B27" t="s">
        <v>29</v>
      </c>
      <c r="C27" s="6" t="s">
        <v>25</v>
      </c>
      <c r="D27">
        <v>350</v>
      </c>
      <c r="F27" s="1"/>
    </row>
    <row r="28" spans="1:6" x14ac:dyDescent="0.3">
      <c r="A28" t="s">
        <v>14</v>
      </c>
      <c r="B28" t="s">
        <v>67</v>
      </c>
      <c r="C28" s="6" t="s">
        <v>90</v>
      </c>
      <c r="D28" s="17">
        <v>75</v>
      </c>
      <c r="F28" s="1"/>
    </row>
    <row r="29" spans="1:6" x14ac:dyDescent="0.3">
      <c r="A29" t="s">
        <v>14</v>
      </c>
      <c r="B29" t="s">
        <v>65</v>
      </c>
      <c r="C29" s="6" t="s">
        <v>91</v>
      </c>
      <c r="D29" s="17">
        <v>75</v>
      </c>
      <c r="F29" s="1"/>
    </row>
    <row r="30" spans="1:6" x14ac:dyDescent="0.3">
      <c r="A30" t="s">
        <v>14</v>
      </c>
      <c r="B30" t="s">
        <v>66</v>
      </c>
      <c r="C30" s="6" t="s">
        <v>92</v>
      </c>
      <c r="D30" s="17">
        <v>75</v>
      </c>
      <c r="F30" s="1"/>
    </row>
    <row r="31" spans="1:6" x14ac:dyDescent="0.3">
      <c r="A31" t="s">
        <v>33</v>
      </c>
      <c r="B31" t="s">
        <v>62</v>
      </c>
      <c r="C31" s="6" t="s">
        <v>63</v>
      </c>
      <c r="D31">
        <v>12</v>
      </c>
      <c r="E31" t="s">
        <v>64</v>
      </c>
      <c r="F31" s="1"/>
    </row>
    <row r="32" spans="1:6" x14ac:dyDescent="0.3">
      <c r="A32" t="s">
        <v>72</v>
      </c>
      <c r="B32" t="s">
        <v>75</v>
      </c>
      <c r="C32" s="13" t="s">
        <v>73</v>
      </c>
      <c r="D32">
        <v>0.88</v>
      </c>
      <c r="E32" t="s">
        <v>72</v>
      </c>
      <c r="F32" s="1"/>
    </row>
    <row r="33" spans="1:6" x14ac:dyDescent="0.3">
      <c r="A33" t="s">
        <v>72</v>
      </c>
      <c r="B33" t="s">
        <v>76</v>
      </c>
      <c r="C33" s="13" t="s">
        <v>74</v>
      </c>
      <c r="D33">
        <v>0.88</v>
      </c>
      <c r="E33" t="s">
        <v>72</v>
      </c>
      <c r="F33" s="1"/>
    </row>
    <row r="34" spans="1:6" x14ac:dyDescent="0.3">
      <c r="A34" t="s">
        <v>72</v>
      </c>
      <c r="B34" t="s">
        <v>83</v>
      </c>
      <c r="C34" s="13" t="s">
        <v>84</v>
      </c>
      <c r="D34">
        <v>2.25</v>
      </c>
      <c r="E34" t="s">
        <v>127</v>
      </c>
      <c r="F34" s="1"/>
    </row>
    <row r="35" spans="1:6" x14ac:dyDescent="0.3">
      <c r="A35" t="s">
        <v>72</v>
      </c>
      <c r="B35" t="s">
        <v>77</v>
      </c>
      <c r="C35" s="13" t="s">
        <v>80</v>
      </c>
      <c r="D35">
        <v>0.61</v>
      </c>
      <c r="E35" t="s">
        <v>72</v>
      </c>
      <c r="F35" s="1"/>
    </row>
    <row r="36" spans="1:6" x14ac:dyDescent="0.3">
      <c r="A36" t="s">
        <v>72</v>
      </c>
      <c r="B36" t="s">
        <v>77</v>
      </c>
      <c r="C36" s="13" t="s">
        <v>85</v>
      </c>
      <c r="D36">
        <v>0.69</v>
      </c>
      <c r="E36" t="s">
        <v>72</v>
      </c>
      <c r="F36" s="1"/>
    </row>
    <row r="37" spans="1:6" x14ac:dyDescent="0.3">
      <c r="A37" t="s">
        <v>72</v>
      </c>
      <c r="B37" t="s">
        <v>78</v>
      </c>
      <c r="C37" s="13" t="s">
        <v>81</v>
      </c>
      <c r="D37">
        <v>0.7</v>
      </c>
      <c r="E37" t="s">
        <v>99</v>
      </c>
      <c r="F37" s="1"/>
    </row>
    <row r="38" spans="1:6" x14ac:dyDescent="0.3">
      <c r="A38" t="s">
        <v>72</v>
      </c>
      <c r="B38" t="s">
        <v>97</v>
      </c>
      <c r="C38" s="13" t="s">
        <v>98</v>
      </c>
      <c r="D38">
        <v>0.9</v>
      </c>
      <c r="E38" t="s">
        <v>100</v>
      </c>
      <c r="F38" s="1"/>
    </row>
    <row r="39" spans="1:6" x14ac:dyDescent="0.3">
      <c r="A39" t="s">
        <v>72</v>
      </c>
      <c r="B39" t="s">
        <v>79</v>
      </c>
      <c r="C39" s="13" t="s">
        <v>82</v>
      </c>
      <c r="D39">
        <v>0.45</v>
      </c>
      <c r="E39" t="s">
        <v>101</v>
      </c>
      <c r="F39" s="1"/>
    </row>
    <row r="40" spans="1:6" x14ac:dyDescent="0.3">
      <c r="A40" t="s">
        <v>72</v>
      </c>
      <c r="B40" t="s">
        <v>102</v>
      </c>
      <c r="C40" s="13" t="s">
        <v>103</v>
      </c>
      <c r="D40">
        <v>4.25</v>
      </c>
      <c r="F40" s="1"/>
    </row>
    <row r="41" spans="1:6" x14ac:dyDescent="0.3">
      <c r="A41" t="s">
        <v>72</v>
      </c>
      <c r="B41" t="s">
        <v>104</v>
      </c>
      <c r="C41" s="13" t="s">
        <v>105</v>
      </c>
      <c r="D41">
        <v>1.25</v>
      </c>
      <c r="F41" s="1"/>
    </row>
    <row r="42" spans="1:6" x14ac:dyDescent="0.3">
      <c r="A42" t="s">
        <v>6</v>
      </c>
      <c r="B42" t="s">
        <v>106</v>
      </c>
      <c r="C42" s="3" t="s">
        <v>87</v>
      </c>
      <c r="D42">
        <v>2</v>
      </c>
    </row>
    <row r="43" spans="1:6" x14ac:dyDescent="0.3">
      <c r="A43" t="s">
        <v>6</v>
      </c>
      <c r="B43" t="s">
        <v>107</v>
      </c>
      <c r="C43" s="3" t="s">
        <v>88</v>
      </c>
      <c r="D43">
        <v>2</v>
      </c>
      <c r="F43" t="s">
        <v>89</v>
      </c>
    </row>
    <row r="44" spans="1:6" x14ac:dyDescent="0.3">
      <c r="A44" t="s">
        <v>6</v>
      </c>
      <c r="B44" t="s">
        <v>106</v>
      </c>
      <c r="C44" s="3" t="s">
        <v>108</v>
      </c>
      <c r="D44">
        <v>2</v>
      </c>
    </row>
    <row r="45" spans="1:6" x14ac:dyDescent="0.3">
      <c r="A45" t="s">
        <v>6</v>
      </c>
      <c r="B45" t="s">
        <v>107</v>
      </c>
      <c r="C45" s="3" t="s">
        <v>109</v>
      </c>
      <c r="D45">
        <v>4</v>
      </c>
      <c r="F45" t="s">
        <v>89</v>
      </c>
    </row>
    <row r="46" spans="1:6" x14ac:dyDescent="0.3">
      <c r="A46" t="s">
        <v>6</v>
      </c>
      <c r="B46" t="s">
        <v>93</v>
      </c>
      <c r="C46" s="3" t="s">
        <v>7</v>
      </c>
      <c r="D46">
        <v>3.3000000000000002E-2</v>
      </c>
      <c r="E46" t="s">
        <v>95</v>
      </c>
    </row>
    <row r="47" spans="1:6" x14ac:dyDescent="0.3">
      <c r="A47" t="s">
        <v>6</v>
      </c>
      <c r="B47" t="s">
        <v>30</v>
      </c>
      <c r="C47" s="3" t="s">
        <v>32</v>
      </c>
      <c r="D47">
        <v>0.01</v>
      </c>
      <c r="E47" t="s">
        <v>31</v>
      </c>
      <c r="F47" t="s">
        <v>96</v>
      </c>
    </row>
    <row r="48" spans="1:6" x14ac:dyDescent="0.3">
      <c r="A48" t="s">
        <v>6</v>
      </c>
      <c r="B48" t="s">
        <v>86</v>
      </c>
      <c r="C48" s="3" t="s">
        <v>119</v>
      </c>
      <c r="D48">
        <v>0.27</v>
      </c>
      <c r="E48" t="s">
        <v>120</v>
      </c>
    </row>
    <row r="49" spans="1:5" x14ac:dyDescent="0.3">
      <c r="A49" t="s">
        <v>6</v>
      </c>
      <c r="B49" t="s">
        <v>122</v>
      </c>
      <c r="C49" s="3" t="s">
        <v>121</v>
      </c>
      <c r="D49">
        <v>2028.5</v>
      </c>
      <c r="E49" t="s">
        <v>123</v>
      </c>
    </row>
    <row r="50" spans="1:5" x14ac:dyDescent="0.3">
      <c r="A50" t="s">
        <v>6</v>
      </c>
      <c r="B50" t="s">
        <v>157</v>
      </c>
      <c r="C50" s="3" t="s">
        <v>155</v>
      </c>
      <c r="D50">
        <v>0.5</v>
      </c>
    </row>
    <row r="51" spans="1:5" x14ac:dyDescent="0.3">
      <c r="A51" t="s">
        <v>6</v>
      </c>
      <c r="B51" t="s">
        <v>156</v>
      </c>
      <c r="C51" s="3" t="s">
        <v>158</v>
      </c>
      <c r="D51">
        <v>0.6</v>
      </c>
    </row>
    <row r="52" spans="1:5" x14ac:dyDescent="0.3">
      <c r="A52" t="s">
        <v>6</v>
      </c>
      <c r="B52" t="s">
        <v>163</v>
      </c>
      <c r="C52" s="3" t="s">
        <v>163</v>
      </c>
      <c r="D52">
        <v>0</v>
      </c>
      <c r="E52" t="s">
        <v>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7130B-2B6C-40C3-A565-474237859EF4}">
  <dimension ref="A1:F52"/>
  <sheetViews>
    <sheetView topLeftCell="A28" workbookViewId="0">
      <selection activeCell="D53" sqref="D53"/>
    </sheetView>
  </sheetViews>
  <sheetFormatPr defaultRowHeight="14.4" x14ac:dyDescent="0.3"/>
  <cols>
    <col min="1" max="1" width="14.6640625" customWidth="1"/>
    <col min="2" max="2" width="41.88671875" customWidth="1"/>
    <col min="3" max="3" width="55" customWidth="1"/>
    <col min="4" max="4" width="16.5546875" customWidth="1"/>
    <col min="5" max="5" width="9.109375" customWidth="1"/>
    <col min="6" max="6" width="22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12</v>
      </c>
      <c r="B2" t="s">
        <v>11</v>
      </c>
      <c r="C2" s="6" t="s">
        <v>13</v>
      </c>
      <c r="D2">
        <v>2026.5</v>
      </c>
      <c r="F2" s="1"/>
    </row>
    <row r="3" spans="1:6" x14ac:dyDescent="0.3">
      <c r="A3" t="s">
        <v>12</v>
      </c>
      <c r="B3" t="s">
        <v>16</v>
      </c>
      <c r="C3" s="6" t="s">
        <v>17</v>
      </c>
      <c r="D3">
        <v>2021</v>
      </c>
      <c r="F3" t="s">
        <v>18</v>
      </c>
    </row>
    <row r="4" spans="1:6" x14ac:dyDescent="0.3">
      <c r="A4" t="s">
        <v>12</v>
      </c>
      <c r="B4" t="s">
        <v>56</v>
      </c>
      <c r="C4" s="6" t="s">
        <v>58</v>
      </c>
      <c r="D4">
        <v>0.13500000000000001</v>
      </c>
    </row>
    <row r="5" spans="1:6" x14ac:dyDescent="0.3">
      <c r="A5" t="s">
        <v>12</v>
      </c>
      <c r="B5" t="s">
        <v>57</v>
      </c>
      <c r="C5" s="6" t="s">
        <v>59</v>
      </c>
      <c r="D5">
        <v>0.09</v>
      </c>
    </row>
    <row r="6" spans="1:6" x14ac:dyDescent="0.3">
      <c r="A6" t="s">
        <v>12</v>
      </c>
      <c r="B6" t="s">
        <v>60</v>
      </c>
      <c r="C6" s="6" t="s">
        <v>61</v>
      </c>
      <c r="D6">
        <v>0.13500000000000001</v>
      </c>
    </row>
    <row r="7" spans="1:6" x14ac:dyDescent="0.3">
      <c r="A7" t="s">
        <v>12</v>
      </c>
      <c r="B7" t="s">
        <v>111</v>
      </c>
      <c r="C7" s="6" t="s">
        <v>126</v>
      </c>
      <c r="D7">
        <v>0.5</v>
      </c>
      <c r="E7" t="s">
        <v>15</v>
      </c>
      <c r="F7" t="s">
        <v>71</v>
      </c>
    </row>
    <row r="8" spans="1:6" x14ac:dyDescent="0.3">
      <c r="A8" t="s">
        <v>14</v>
      </c>
      <c r="B8" t="s">
        <v>69</v>
      </c>
      <c r="C8" s="6" t="s">
        <v>68</v>
      </c>
      <c r="D8" s="17">
        <v>9.2999999999999999E-2</v>
      </c>
      <c r="E8" t="s">
        <v>15</v>
      </c>
      <c r="F8" t="s">
        <v>70</v>
      </c>
    </row>
    <row r="9" spans="1:6" x14ac:dyDescent="0.3">
      <c r="A9" t="s">
        <v>14</v>
      </c>
      <c r="B9" t="s">
        <v>52</v>
      </c>
      <c r="C9" s="6" t="s">
        <v>54</v>
      </c>
      <c r="D9" s="17">
        <v>0.1</v>
      </c>
      <c r="E9" t="s">
        <v>15</v>
      </c>
      <c r="F9" t="s">
        <v>110</v>
      </c>
    </row>
    <row r="10" spans="1:6" x14ac:dyDescent="0.3">
      <c r="A10" t="s">
        <v>14</v>
      </c>
      <c r="B10" t="s">
        <v>53</v>
      </c>
      <c r="C10" s="6" t="s">
        <v>55</v>
      </c>
      <c r="D10" s="17">
        <v>0.1</v>
      </c>
      <c r="E10" t="s">
        <v>15</v>
      </c>
      <c r="F10" s="1"/>
    </row>
    <row r="11" spans="1:6" x14ac:dyDescent="0.3">
      <c r="A11" s="8" t="s">
        <v>14</v>
      </c>
      <c r="B11" s="8" t="s">
        <v>36</v>
      </c>
      <c r="C11" s="9" t="s">
        <v>37</v>
      </c>
      <c r="D11" s="7">
        <v>0.16838500000000001</v>
      </c>
      <c r="E11" t="s">
        <v>15</v>
      </c>
      <c r="F11" t="s">
        <v>44</v>
      </c>
    </row>
    <row r="12" spans="1:6" x14ac:dyDescent="0.3">
      <c r="A12" t="s">
        <v>14</v>
      </c>
      <c r="B12" t="s">
        <v>34</v>
      </c>
      <c r="C12" s="10" t="s">
        <v>38</v>
      </c>
      <c r="D12" s="7">
        <v>7.2419999999999998E-2</v>
      </c>
      <c r="E12" t="s">
        <v>15</v>
      </c>
    </row>
    <row r="13" spans="1:6" x14ac:dyDescent="0.3">
      <c r="A13" s="11" t="s">
        <v>14</v>
      </c>
      <c r="B13" s="11" t="s">
        <v>35</v>
      </c>
      <c r="C13" s="12" t="s">
        <v>39</v>
      </c>
      <c r="D13" s="7">
        <v>0.19167500000000001</v>
      </c>
      <c r="E13" t="s">
        <v>15</v>
      </c>
    </row>
    <row r="14" spans="1:6" x14ac:dyDescent="0.3">
      <c r="A14" s="8" t="s">
        <v>14</v>
      </c>
      <c r="B14" s="8" t="s">
        <v>36</v>
      </c>
      <c r="C14" s="9" t="s">
        <v>46</v>
      </c>
      <c r="D14">
        <v>0.1981</v>
      </c>
      <c r="E14" t="s">
        <v>15</v>
      </c>
      <c r="F14" t="s">
        <v>43</v>
      </c>
    </row>
    <row r="15" spans="1:6" x14ac:dyDescent="0.3">
      <c r="A15" t="s">
        <v>14</v>
      </c>
      <c r="B15" t="s">
        <v>34</v>
      </c>
      <c r="C15" s="10" t="s">
        <v>47</v>
      </c>
      <c r="D15">
        <v>8.5199999999999998E-2</v>
      </c>
      <c r="E15" t="s">
        <v>15</v>
      </c>
    </row>
    <row r="16" spans="1:6" x14ac:dyDescent="0.3">
      <c r="A16" s="11" t="s">
        <v>14</v>
      </c>
      <c r="B16" s="11" t="s">
        <v>35</v>
      </c>
      <c r="C16" s="12" t="s">
        <v>48</v>
      </c>
      <c r="D16">
        <v>0.22550000000000001</v>
      </c>
      <c r="E16" t="s">
        <v>15</v>
      </c>
    </row>
    <row r="17" spans="1:6" x14ac:dyDescent="0.3">
      <c r="A17" s="8" t="s">
        <v>14</v>
      </c>
      <c r="B17" s="8" t="s">
        <v>36</v>
      </c>
      <c r="C17" s="9" t="s">
        <v>40</v>
      </c>
      <c r="D17" s="7">
        <v>0.21791000000000002</v>
      </c>
      <c r="E17" t="s">
        <v>15</v>
      </c>
      <c r="F17" t="s">
        <v>45</v>
      </c>
    </row>
    <row r="18" spans="1:6" x14ac:dyDescent="0.3">
      <c r="A18" t="s">
        <v>14</v>
      </c>
      <c r="B18" t="s">
        <v>34</v>
      </c>
      <c r="C18" s="10" t="s">
        <v>41</v>
      </c>
      <c r="D18" s="7">
        <v>0.10501000000000002</v>
      </c>
      <c r="E18" t="s">
        <v>15</v>
      </c>
      <c r="F18" s="7">
        <f>D17-D14</f>
        <v>1.9810000000000022E-2</v>
      </c>
    </row>
    <row r="19" spans="1:6" x14ac:dyDescent="0.3">
      <c r="A19" s="11" t="s">
        <v>14</v>
      </c>
      <c r="B19" s="11" t="s">
        <v>35</v>
      </c>
      <c r="C19" s="12" t="s">
        <v>42</v>
      </c>
      <c r="D19" s="7">
        <v>0.24531000000000003</v>
      </c>
      <c r="E19" t="s">
        <v>15</v>
      </c>
    </row>
    <row r="20" spans="1:6" x14ac:dyDescent="0.3">
      <c r="A20" s="8" t="s">
        <v>14</v>
      </c>
      <c r="B20" s="8" t="s">
        <v>36</v>
      </c>
      <c r="C20" s="9" t="s">
        <v>49</v>
      </c>
      <c r="D20" s="7">
        <v>0.25752999999999998</v>
      </c>
      <c r="E20" t="s">
        <v>15</v>
      </c>
      <c r="F20" t="s">
        <v>125</v>
      </c>
    </row>
    <row r="21" spans="1:6" x14ac:dyDescent="0.3">
      <c r="A21" t="s">
        <v>14</v>
      </c>
      <c r="B21" t="s">
        <v>34</v>
      </c>
      <c r="C21" s="10" t="s">
        <v>50</v>
      </c>
      <c r="D21" s="7">
        <v>0.14462999999999998</v>
      </c>
      <c r="E21" t="s">
        <v>15</v>
      </c>
      <c r="F21" s="7">
        <f>(D20-D14)</f>
        <v>5.9429999999999983E-2</v>
      </c>
    </row>
    <row r="22" spans="1:6" x14ac:dyDescent="0.3">
      <c r="A22" s="11" t="s">
        <v>14</v>
      </c>
      <c r="B22" s="11" t="s">
        <v>35</v>
      </c>
      <c r="C22" s="12" t="s">
        <v>51</v>
      </c>
      <c r="D22" s="7">
        <v>0.28493000000000002</v>
      </c>
      <c r="E22" t="s">
        <v>15</v>
      </c>
      <c r="F22" s="7"/>
    </row>
    <row r="23" spans="1:6" x14ac:dyDescent="0.3">
      <c r="A23" t="s">
        <v>14</v>
      </c>
      <c r="B23" t="s">
        <v>19</v>
      </c>
      <c r="C23" s="6" t="s">
        <v>20</v>
      </c>
      <c r="D23">
        <v>130</v>
      </c>
      <c r="E23" t="s">
        <v>21</v>
      </c>
      <c r="F23" s="1"/>
    </row>
    <row r="24" spans="1:6" x14ac:dyDescent="0.3">
      <c r="A24" t="s">
        <v>14</v>
      </c>
      <c r="B24" t="s">
        <v>26</v>
      </c>
      <c r="C24" s="6" t="s">
        <v>22</v>
      </c>
      <c r="D24">
        <v>215</v>
      </c>
      <c r="F24" s="1"/>
    </row>
    <row r="25" spans="1:6" x14ac:dyDescent="0.3">
      <c r="A25" t="s">
        <v>14</v>
      </c>
      <c r="B25" t="s">
        <v>27</v>
      </c>
      <c r="C25" s="6" t="s">
        <v>23</v>
      </c>
      <c r="D25">
        <v>265</v>
      </c>
      <c r="F25" s="1"/>
    </row>
    <row r="26" spans="1:6" x14ac:dyDescent="0.3">
      <c r="A26" t="s">
        <v>14</v>
      </c>
      <c r="B26" t="s">
        <v>28</v>
      </c>
      <c r="C26" s="6" t="s">
        <v>24</v>
      </c>
      <c r="D26">
        <v>320</v>
      </c>
      <c r="F26" s="1"/>
    </row>
    <row r="27" spans="1:6" x14ac:dyDescent="0.3">
      <c r="A27" t="s">
        <v>14</v>
      </c>
      <c r="B27" t="s">
        <v>29</v>
      </c>
      <c r="C27" s="6" t="s">
        <v>25</v>
      </c>
      <c r="D27">
        <v>350</v>
      </c>
      <c r="F27" s="1"/>
    </row>
    <row r="28" spans="1:6" x14ac:dyDescent="0.3">
      <c r="A28" t="s">
        <v>14</v>
      </c>
      <c r="B28" t="s">
        <v>67</v>
      </c>
      <c r="C28" s="6" t="s">
        <v>90</v>
      </c>
      <c r="D28" s="17">
        <v>75</v>
      </c>
      <c r="F28" s="1"/>
    </row>
    <row r="29" spans="1:6" x14ac:dyDescent="0.3">
      <c r="A29" t="s">
        <v>14</v>
      </c>
      <c r="B29" t="s">
        <v>65</v>
      </c>
      <c r="C29" s="6" t="s">
        <v>91</v>
      </c>
      <c r="D29" s="17">
        <v>0</v>
      </c>
      <c r="F29" s="1"/>
    </row>
    <row r="30" spans="1:6" x14ac:dyDescent="0.3">
      <c r="A30" t="s">
        <v>14</v>
      </c>
      <c r="B30" t="s">
        <v>66</v>
      </c>
      <c r="C30" s="6" t="s">
        <v>92</v>
      </c>
      <c r="D30" s="17">
        <v>0</v>
      </c>
      <c r="F30" s="1"/>
    </row>
    <row r="31" spans="1:6" x14ac:dyDescent="0.3">
      <c r="A31" t="s">
        <v>33</v>
      </c>
      <c r="B31" t="s">
        <v>62</v>
      </c>
      <c r="C31" s="6" t="s">
        <v>63</v>
      </c>
      <c r="D31">
        <v>12</v>
      </c>
      <c r="E31" t="s">
        <v>64</v>
      </c>
      <c r="F31" s="1"/>
    </row>
    <row r="32" spans="1:6" x14ac:dyDescent="0.3">
      <c r="A32" t="s">
        <v>72</v>
      </c>
      <c r="B32" t="s">
        <v>75</v>
      </c>
      <c r="C32" s="13" t="s">
        <v>73</v>
      </c>
      <c r="D32">
        <v>0.88</v>
      </c>
      <c r="E32" t="s">
        <v>72</v>
      </c>
      <c r="F32" s="1"/>
    </row>
    <row r="33" spans="1:6" x14ac:dyDescent="0.3">
      <c r="A33" t="s">
        <v>72</v>
      </c>
      <c r="B33" t="s">
        <v>76</v>
      </c>
      <c r="C33" s="13" t="s">
        <v>74</v>
      </c>
      <c r="D33">
        <v>0.88</v>
      </c>
      <c r="E33" t="s">
        <v>72</v>
      </c>
      <c r="F33" s="1"/>
    </row>
    <row r="34" spans="1:6" x14ac:dyDescent="0.3">
      <c r="A34" t="s">
        <v>72</v>
      </c>
      <c r="B34" t="s">
        <v>83</v>
      </c>
      <c r="C34" s="13" t="s">
        <v>84</v>
      </c>
      <c r="D34">
        <v>2.25</v>
      </c>
      <c r="E34" t="s">
        <v>127</v>
      </c>
      <c r="F34" s="1"/>
    </row>
    <row r="35" spans="1:6" x14ac:dyDescent="0.3">
      <c r="A35" t="s">
        <v>72</v>
      </c>
      <c r="B35" t="s">
        <v>77</v>
      </c>
      <c r="C35" s="13" t="s">
        <v>80</v>
      </c>
      <c r="D35">
        <v>0.61</v>
      </c>
      <c r="E35" t="s">
        <v>72</v>
      </c>
      <c r="F35" s="1"/>
    </row>
    <row r="36" spans="1:6" x14ac:dyDescent="0.3">
      <c r="A36" t="s">
        <v>72</v>
      </c>
      <c r="B36" t="s">
        <v>77</v>
      </c>
      <c r="C36" s="13" t="s">
        <v>85</v>
      </c>
      <c r="D36">
        <v>0.69</v>
      </c>
      <c r="E36" t="s">
        <v>72</v>
      </c>
      <c r="F36" s="1"/>
    </row>
    <row r="37" spans="1:6" x14ac:dyDescent="0.3">
      <c r="A37" t="s">
        <v>72</v>
      </c>
      <c r="B37" t="s">
        <v>78</v>
      </c>
      <c r="C37" s="13" t="s">
        <v>81</v>
      </c>
      <c r="D37">
        <v>0.7</v>
      </c>
      <c r="E37" t="s">
        <v>99</v>
      </c>
      <c r="F37" s="1"/>
    </row>
    <row r="38" spans="1:6" x14ac:dyDescent="0.3">
      <c r="A38" t="s">
        <v>72</v>
      </c>
      <c r="B38" t="s">
        <v>97</v>
      </c>
      <c r="C38" s="13" t="s">
        <v>98</v>
      </c>
      <c r="D38">
        <v>0.9</v>
      </c>
      <c r="E38" t="s">
        <v>100</v>
      </c>
      <c r="F38" s="1"/>
    </row>
    <row r="39" spans="1:6" x14ac:dyDescent="0.3">
      <c r="A39" t="s">
        <v>72</v>
      </c>
      <c r="B39" t="s">
        <v>79</v>
      </c>
      <c r="C39" s="13" t="s">
        <v>82</v>
      </c>
      <c r="D39">
        <v>0.45</v>
      </c>
      <c r="E39" t="s">
        <v>101</v>
      </c>
      <c r="F39" s="1"/>
    </row>
    <row r="40" spans="1:6" x14ac:dyDescent="0.3">
      <c r="A40" t="s">
        <v>72</v>
      </c>
      <c r="B40" t="s">
        <v>102</v>
      </c>
      <c r="C40" s="13" t="s">
        <v>103</v>
      </c>
      <c r="D40">
        <v>4.25</v>
      </c>
      <c r="F40" s="1"/>
    </row>
    <row r="41" spans="1:6" x14ac:dyDescent="0.3">
      <c r="A41" t="s">
        <v>72</v>
      </c>
      <c r="B41" t="s">
        <v>104</v>
      </c>
      <c r="C41" s="13" t="s">
        <v>105</v>
      </c>
      <c r="D41">
        <v>1.25</v>
      </c>
      <c r="F41" s="1"/>
    </row>
    <row r="42" spans="1:6" x14ac:dyDescent="0.3">
      <c r="A42" t="s">
        <v>6</v>
      </c>
      <c r="B42" t="s">
        <v>106</v>
      </c>
      <c r="C42" s="3" t="s">
        <v>87</v>
      </c>
      <c r="D42">
        <v>2</v>
      </c>
    </row>
    <row r="43" spans="1:6" x14ac:dyDescent="0.3">
      <c r="A43" t="s">
        <v>6</v>
      </c>
      <c r="B43" t="s">
        <v>107</v>
      </c>
      <c r="C43" s="3" t="s">
        <v>88</v>
      </c>
      <c r="D43">
        <v>2</v>
      </c>
      <c r="F43" t="s">
        <v>89</v>
      </c>
    </row>
    <row r="44" spans="1:6" x14ac:dyDescent="0.3">
      <c r="A44" t="s">
        <v>6</v>
      </c>
      <c r="B44" t="s">
        <v>106</v>
      </c>
      <c r="C44" s="3" t="s">
        <v>108</v>
      </c>
      <c r="D44">
        <v>2</v>
      </c>
    </row>
    <row r="45" spans="1:6" x14ac:dyDescent="0.3">
      <c r="A45" t="s">
        <v>6</v>
      </c>
      <c r="B45" t="s">
        <v>107</v>
      </c>
      <c r="C45" s="3" t="s">
        <v>109</v>
      </c>
      <c r="D45">
        <v>4</v>
      </c>
      <c r="F45" t="s">
        <v>89</v>
      </c>
    </row>
    <row r="46" spans="1:6" x14ac:dyDescent="0.3">
      <c r="A46" t="s">
        <v>6</v>
      </c>
      <c r="B46" t="s">
        <v>93</v>
      </c>
      <c r="C46" s="3" t="s">
        <v>7</v>
      </c>
      <c r="D46">
        <v>3.3000000000000002E-2</v>
      </c>
      <c r="E46" t="s">
        <v>95</v>
      </c>
    </row>
    <row r="47" spans="1:6" x14ac:dyDescent="0.3">
      <c r="A47" t="s">
        <v>6</v>
      </c>
      <c r="B47" t="s">
        <v>30</v>
      </c>
      <c r="C47" s="3" t="s">
        <v>32</v>
      </c>
      <c r="D47">
        <v>0.01</v>
      </c>
      <c r="E47" t="s">
        <v>31</v>
      </c>
      <c r="F47" t="s">
        <v>96</v>
      </c>
    </row>
    <row r="48" spans="1:6" x14ac:dyDescent="0.3">
      <c r="A48" t="s">
        <v>6</v>
      </c>
      <c r="B48" t="s">
        <v>86</v>
      </c>
      <c r="C48" s="3" t="s">
        <v>119</v>
      </c>
      <c r="D48">
        <v>0.27</v>
      </c>
      <c r="E48" t="s">
        <v>120</v>
      </c>
    </row>
    <row r="49" spans="1:5" x14ac:dyDescent="0.3">
      <c r="A49" t="s">
        <v>6</v>
      </c>
      <c r="B49" t="s">
        <v>122</v>
      </c>
      <c r="C49" s="3" t="s">
        <v>121</v>
      </c>
      <c r="D49">
        <v>2028.5</v>
      </c>
      <c r="E49" t="s">
        <v>123</v>
      </c>
    </row>
    <row r="50" spans="1:5" x14ac:dyDescent="0.3">
      <c r="A50" t="s">
        <v>6</v>
      </c>
      <c r="B50" t="s">
        <v>157</v>
      </c>
      <c r="C50" s="3" t="s">
        <v>155</v>
      </c>
      <c r="D50">
        <v>0.5</v>
      </c>
    </row>
    <row r="51" spans="1:5" x14ac:dyDescent="0.3">
      <c r="A51" t="s">
        <v>6</v>
      </c>
      <c r="B51" t="s">
        <v>156</v>
      </c>
      <c r="C51" s="3" t="s">
        <v>158</v>
      </c>
      <c r="D51">
        <v>0.6</v>
      </c>
    </row>
    <row r="52" spans="1:5" x14ac:dyDescent="0.3">
      <c r="A52" t="s">
        <v>6</v>
      </c>
      <c r="B52" t="s">
        <v>163</v>
      </c>
      <c r="C52" s="3" t="s">
        <v>163</v>
      </c>
      <c r="D52">
        <v>0</v>
      </c>
      <c r="E52" t="s">
        <v>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FF8BC-953A-45D1-A042-B3C357C0F4A0}">
  <dimension ref="A1:F52"/>
  <sheetViews>
    <sheetView topLeftCell="A29" workbookViewId="0">
      <selection activeCell="D53" sqref="D53"/>
    </sheetView>
  </sheetViews>
  <sheetFormatPr defaultRowHeight="14.4" x14ac:dyDescent="0.3"/>
  <cols>
    <col min="1" max="1" width="14.6640625" customWidth="1"/>
    <col min="2" max="2" width="41.88671875" customWidth="1"/>
    <col min="3" max="3" width="55" customWidth="1"/>
    <col min="4" max="4" width="16.5546875" customWidth="1"/>
    <col min="5" max="5" width="9.109375" customWidth="1"/>
    <col min="6" max="6" width="22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12</v>
      </c>
      <c r="B2" t="s">
        <v>11</v>
      </c>
      <c r="C2" s="6" t="s">
        <v>13</v>
      </c>
      <c r="D2">
        <v>2026.5</v>
      </c>
      <c r="F2" s="1"/>
    </row>
    <row r="3" spans="1:6" x14ac:dyDescent="0.3">
      <c r="A3" t="s">
        <v>12</v>
      </c>
      <c r="B3" t="s">
        <v>16</v>
      </c>
      <c r="C3" s="6" t="s">
        <v>17</v>
      </c>
      <c r="D3">
        <v>2021</v>
      </c>
      <c r="F3" t="s">
        <v>18</v>
      </c>
    </row>
    <row r="4" spans="1:6" x14ac:dyDescent="0.3">
      <c r="A4" t="s">
        <v>12</v>
      </c>
      <c r="B4" t="s">
        <v>56</v>
      </c>
      <c r="C4" s="6" t="s">
        <v>58</v>
      </c>
      <c r="D4">
        <v>0.13500000000000001</v>
      </c>
    </row>
    <row r="5" spans="1:6" x14ac:dyDescent="0.3">
      <c r="A5" t="s">
        <v>12</v>
      </c>
      <c r="B5" t="s">
        <v>57</v>
      </c>
      <c r="C5" s="6" t="s">
        <v>59</v>
      </c>
      <c r="D5">
        <v>0.09</v>
      </c>
    </row>
    <row r="6" spans="1:6" x14ac:dyDescent="0.3">
      <c r="A6" t="s">
        <v>12</v>
      </c>
      <c r="B6" t="s">
        <v>60</v>
      </c>
      <c r="C6" s="6" t="s">
        <v>61</v>
      </c>
      <c r="D6">
        <v>0.13500000000000001</v>
      </c>
    </row>
    <row r="7" spans="1:6" x14ac:dyDescent="0.3">
      <c r="A7" t="s">
        <v>12</v>
      </c>
      <c r="B7" t="s">
        <v>111</v>
      </c>
      <c r="C7" s="6" t="s">
        <v>126</v>
      </c>
      <c r="D7">
        <v>0.5</v>
      </c>
      <c r="E7" t="s">
        <v>15</v>
      </c>
      <c r="F7" t="s">
        <v>71</v>
      </c>
    </row>
    <row r="8" spans="1:6" x14ac:dyDescent="0.3">
      <c r="A8" t="s">
        <v>14</v>
      </c>
      <c r="B8" t="s">
        <v>69</v>
      </c>
      <c r="C8" s="6" t="s">
        <v>68</v>
      </c>
      <c r="D8" s="17">
        <v>9.2999999999999999E-2</v>
      </c>
      <c r="E8" t="s">
        <v>15</v>
      </c>
      <c r="F8" t="s">
        <v>70</v>
      </c>
    </row>
    <row r="9" spans="1:6" x14ac:dyDescent="0.3">
      <c r="A9" t="s">
        <v>14</v>
      </c>
      <c r="B9" t="s">
        <v>52</v>
      </c>
      <c r="C9" s="6" t="s">
        <v>54</v>
      </c>
      <c r="D9" s="17">
        <v>0.11</v>
      </c>
      <c r="E9" t="s">
        <v>15</v>
      </c>
      <c r="F9" t="s">
        <v>133</v>
      </c>
    </row>
    <row r="10" spans="1:6" x14ac:dyDescent="0.3">
      <c r="A10" t="s">
        <v>14</v>
      </c>
      <c r="B10" t="s">
        <v>53</v>
      </c>
      <c r="C10" s="6" t="s">
        <v>55</v>
      </c>
      <c r="D10" s="17">
        <v>0.12</v>
      </c>
      <c r="E10" t="s">
        <v>15</v>
      </c>
      <c r="F10" t="s">
        <v>133</v>
      </c>
    </row>
    <row r="11" spans="1:6" x14ac:dyDescent="0.3">
      <c r="A11" s="8" t="s">
        <v>14</v>
      </c>
      <c r="B11" s="8" t="s">
        <v>36</v>
      </c>
      <c r="C11" s="9" t="s">
        <v>37</v>
      </c>
      <c r="D11" s="7">
        <v>0.16838500000000001</v>
      </c>
      <c r="E11" t="s">
        <v>15</v>
      </c>
      <c r="F11" t="s">
        <v>44</v>
      </c>
    </row>
    <row r="12" spans="1:6" x14ac:dyDescent="0.3">
      <c r="A12" t="s">
        <v>14</v>
      </c>
      <c r="B12" t="s">
        <v>34</v>
      </c>
      <c r="C12" s="10" t="s">
        <v>38</v>
      </c>
      <c r="D12" s="7">
        <v>7.2419999999999998E-2</v>
      </c>
      <c r="E12" t="s">
        <v>15</v>
      </c>
    </row>
    <row r="13" spans="1:6" x14ac:dyDescent="0.3">
      <c r="A13" s="11" t="s">
        <v>14</v>
      </c>
      <c r="B13" s="11" t="s">
        <v>35</v>
      </c>
      <c r="C13" s="12" t="s">
        <v>39</v>
      </c>
      <c r="D13" s="7">
        <v>0.19167500000000001</v>
      </c>
      <c r="E13" t="s">
        <v>15</v>
      </c>
    </row>
    <row r="14" spans="1:6" x14ac:dyDescent="0.3">
      <c r="A14" s="8" t="s">
        <v>14</v>
      </c>
      <c r="B14" s="8" t="s">
        <v>36</v>
      </c>
      <c r="C14" s="9" t="s">
        <v>46</v>
      </c>
      <c r="D14">
        <v>0.1981</v>
      </c>
      <c r="E14" t="s">
        <v>15</v>
      </c>
      <c r="F14" t="s">
        <v>43</v>
      </c>
    </row>
    <row r="15" spans="1:6" x14ac:dyDescent="0.3">
      <c r="A15" t="s">
        <v>14</v>
      </c>
      <c r="B15" t="s">
        <v>34</v>
      </c>
      <c r="C15" s="10" t="s">
        <v>47</v>
      </c>
      <c r="D15">
        <v>8.5199999999999998E-2</v>
      </c>
      <c r="E15" t="s">
        <v>15</v>
      </c>
    </row>
    <row r="16" spans="1:6" x14ac:dyDescent="0.3">
      <c r="A16" s="11" t="s">
        <v>14</v>
      </c>
      <c r="B16" s="11" t="s">
        <v>35</v>
      </c>
      <c r="C16" s="12" t="s">
        <v>48</v>
      </c>
      <c r="D16">
        <v>0.22550000000000001</v>
      </c>
      <c r="E16" t="s">
        <v>15</v>
      </c>
    </row>
    <row r="17" spans="1:6" x14ac:dyDescent="0.3">
      <c r="A17" s="8" t="s">
        <v>14</v>
      </c>
      <c r="B17" s="8" t="s">
        <v>36</v>
      </c>
      <c r="C17" s="9" t="s">
        <v>40</v>
      </c>
      <c r="D17" s="7">
        <v>0.21791000000000002</v>
      </c>
      <c r="E17" t="s">
        <v>15</v>
      </c>
      <c r="F17" t="s">
        <v>45</v>
      </c>
    </row>
    <row r="18" spans="1:6" x14ac:dyDescent="0.3">
      <c r="A18" t="s">
        <v>14</v>
      </c>
      <c r="B18" t="s">
        <v>34</v>
      </c>
      <c r="C18" s="10" t="s">
        <v>41</v>
      </c>
      <c r="D18" s="7">
        <v>0.10501000000000002</v>
      </c>
      <c r="E18" t="s">
        <v>15</v>
      </c>
      <c r="F18" s="7">
        <f>D17-D14</f>
        <v>1.9810000000000022E-2</v>
      </c>
    </row>
    <row r="19" spans="1:6" x14ac:dyDescent="0.3">
      <c r="A19" s="11" t="s">
        <v>14</v>
      </c>
      <c r="B19" s="11" t="s">
        <v>35</v>
      </c>
      <c r="C19" s="12" t="s">
        <v>42</v>
      </c>
      <c r="D19" s="7">
        <v>0.24531000000000003</v>
      </c>
      <c r="E19" t="s">
        <v>15</v>
      </c>
    </row>
    <row r="20" spans="1:6" x14ac:dyDescent="0.3">
      <c r="A20" s="8" t="s">
        <v>14</v>
      </c>
      <c r="B20" s="8" t="s">
        <v>36</v>
      </c>
      <c r="C20" s="9" t="s">
        <v>49</v>
      </c>
      <c r="D20" s="7">
        <v>0.25752999999999998</v>
      </c>
      <c r="E20" t="s">
        <v>15</v>
      </c>
      <c r="F20" t="s">
        <v>125</v>
      </c>
    </row>
    <row r="21" spans="1:6" x14ac:dyDescent="0.3">
      <c r="A21" t="s">
        <v>14</v>
      </c>
      <c r="B21" t="s">
        <v>34</v>
      </c>
      <c r="C21" s="10" t="s">
        <v>50</v>
      </c>
      <c r="D21" s="7">
        <v>0.14462999999999998</v>
      </c>
      <c r="E21" t="s">
        <v>15</v>
      </c>
      <c r="F21" s="7">
        <f>(D20-D14)</f>
        <v>5.9429999999999983E-2</v>
      </c>
    </row>
    <row r="22" spans="1:6" x14ac:dyDescent="0.3">
      <c r="A22" s="11" t="s">
        <v>14</v>
      </c>
      <c r="B22" s="11" t="s">
        <v>35</v>
      </c>
      <c r="C22" s="12" t="s">
        <v>51</v>
      </c>
      <c r="D22" s="7">
        <v>0.28493000000000002</v>
      </c>
      <c r="E22" t="s">
        <v>15</v>
      </c>
      <c r="F22" s="7"/>
    </row>
    <row r="23" spans="1:6" x14ac:dyDescent="0.3">
      <c r="A23" t="s">
        <v>14</v>
      </c>
      <c r="B23" t="s">
        <v>19</v>
      </c>
      <c r="C23" s="6" t="s">
        <v>20</v>
      </c>
      <c r="D23">
        <v>130</v>
      </c>
      <c r="E23" t="s">
        <v>21</v>
      </c>
      <c r="F23" s="1"/>
    </row>
    <row r="24" spans="1:6" x14ac:dyDescent="0.3">
      <c r="A24" t="s">
        <v>14</v>
      </c>
      <c r="B24" t="s">
        <v>26</v>
      </c>
      <c r="C24" s="6" t="s">
        <v>22</v>
      </c>
      <c r="D24">
        <v>215</v>
      </c>
      <c r="F24" s="1"/>
    </row>
    <row r="25" spans="1:6" x14ac:dyDescent="0.3">
      <c r="A25" t="s">
        <v>14</v>
      </c>
      <c r="B25" t="s">
        <v>27</v>
      </c>
      <c r="C25" s="6" t="s">
        <v>23</v>
      </c>
      <c r="D25">
        <v>265</v>
      </c>
      <c r="F25" s="1"/>
    </row>
    <row r="26" spans="1:6" x14ac:dyDescent="0.3">
      <c r="A26" t="s">
        <v>14</v>
      </c>
      <c r="B26" t="s">
        <v>28</v>
      </c>
      <c r="C26" s="6" t="s">
        <v>24</v>
      </c>
      <c r="D26">
        <v>320</v>
      </c>
      <c r="F26" s="1"/>
    </row>
    <row r="27" spans="1:6" x14ac:dyDescent="0.3">
      <c r="A27" t="s">
        <v>14</v>
      </c>
      <c r="B27" t="s">
        <v>29</v>
      </c>
      <c r="C27" s="6" t="s">
        <v>25</v>
      </c>
      <c r="D27">
        <v>350</v>
      </c>
      <c r="F27" s="1"/>
    </row>
    <row r="28" spans="1:6" x14ac:dyDescent="0.3">
      <c r="A28" t="s">
        <v>14</v>
      </c>
      <c r="B28" t="s">
        <v>67</v>
      </c>
      <c r="C28" s="6" t="s">
        <v>90</v>
      </c>
      <c r="D28" s="17">
        <v>75</v>
      </c>
      <c r="F28" s="1"/>
    </row>
    <row r="29" spans="1:6" x14ac:dyDescent="0.3">
      <c r="A29" t="s">
        <v>14</v>
      </c>
      <c r="B29" t="s">
        <v>65</v>
      </c>
      <c r="C29" s="6" t="s">
        <v>91</v>
      </c>
      <c r="D29" s="17">
        <v>-50</v>
      </c>
      <c r="F29" s="1"/>
    </row>
    <row r="30" spans="1:6" x14ac:dyDescent="0.3">
      <c r="A30" t="s">
        <v>14</v>
      </c>
      <c r="B30" t="s">
        <v>66</v>
      </c>
      <c r="C30" s="6" t="s">
        <v>92</v>
      </c>
      <c r="D30" s="17">
        <v>-50</v>
      </c>
      <c r="F30" s="1"/>
    </row>
    <row r="31" spans="1:6" x14ac:dyDescent="0.3">
      <c r="A31" t="s">
        <v>33</v>
      </c>
      <c r="B31" t="s">
        <v>62</v>
      </c>
      <c r="C31" s="6" t="s">
        <v>63</v>
      </c>
      <c r="D31">
        <v>12</v>
      </c>
      <c r="E31" t="s">
        <v>64</v>
      </c>
      <c r="F31" s="1"/>
    </row>
    <row r="32" spans="1:6" x14ac:dyDescent="0.3">
      <c r="A32" t="s">
        <v>72</v>
      </c>
      <c r="B32" t="s">
        <v>75</v>
      </c>
      <c r="C32" s="13" t="s">
        <v>73</v>
      </c>
      <c r="D32">
        <v>0.88</v>
      </c>
      <c r="E32" t="s">
        <v>72</v>
      </c>
      <c r="F32" s="1"/>
    </row>
    <row r="33" spans="1:6" x14ac:dyDescent="0.3">
      <c r="A33" t="s">
        <v>72</v>
      </c>
      <c r="B33" t="s">
        <v>76</v>
      </c>
      <c r="C33" s="13" t="s">
        <v>74</v>
      </c>
      <c r="D33">
        <v>0.88</v>
      </c>
      <c r="E33" t="s">
        <v>72</v>
      </c>
      <c r="F33" s="1"/>
    </row>
    <row r="34" spans="1:6" x14ac:dyDescent="0.3">
      <c r="A34" t="s">
        <v>72</v>
      </c>
      <c r="B34" t="s">
        <v>83</v>
      </c>
      <c r="C34" s="13" t="s">
        <v>84</v>
      </c>
      <c r="D34">
        <v>2.25</v>
      </c>
      <c r="E34" t="s">
        <v>127</v>
      </c>
      <c r="F34" s="1"/>
    </row>
    <row r="35" spans="1:6" x14ac:dyDescent="0.3">
      <c r="A35" t="s">
        <v>72</v>
      </c>
      <c r="B35" t="s">
        <v>77</v>
      </c>
      <c r="C35" s="13" t="s">
        <v>80</v>
      </c>
      <c r="D35">
        <v>0.61</v>
      </c>
      <c r="E35" t="s">
        <v>72</v>
      </c>
      <c r="F35" s="1"/>
    </row>
    <row r="36" spans="1:6" x14ac:dyDescent="0.3">
      <c r="A36" t="s">
        <v>72</v>
      </c>
      <c r="B36" t="s">
        <v>77</v>
      </c>
      <c r="C36" s="13" t="s">
        <v>85</v>
      </c>
      <c r="D36">
        <v>0.69</v>
      </c>
      <c r="E36" t="s">
        <v>72</v>
      </c>
      <c r="F36" s="1"/>
    </row>
    <row r="37" spans="1:6" x14ac:dyDescent="0.3">
      <c r="A37" t="s">
        <v>72</v>
      </c>
      <c r="B37" t="s">
        <v>78</v>
      </c>
      <c r="C37" s="13" t="s">
        <v>81</v>
      </c>
      <c r="D37">
        <v>0.7</v>
      </c>
      <c r="E37" t="s">
        <v>99</v>
      </c>
      <c r="F37" s="1"/>
    </row>
    <row r="38" spans="1:6" x14ac:dyDescent="0.3">
      <c r="A38" t="s">
        <v>72</v>
      </c>
      <c r="B38" t="s">
        <v>97</v>
      </c>
      <c r="C38" s="13" t="s">
        <v>98</v>
      </c>
      <c r="D38">
        <v>0.9</v>
      </c>
      <c r="E38" t="s">
        <v>100</v>
      </c>
      <c r="F38" s="1"/>
    </row>
    <row r="39" spans="1:6" x14ac:dyDescent="0.3">
      <c r="A39" t="s">
        <v>72</v>
      </c>
      <c r="B39" t="s">
        <v>79</v>
      </c>
      <c r="C39" s="13" t="s">
        <v>82</v>
      </c>
      <c r="D39">
        <v>0.45</v>
      </c>
      <c r="E39" t="s">
        <v>101</v>
      </c>
      <c r="F39" s="1"/>
    </row>
    <row r="40" spans="1:6" x14ac:dyDescent="0.3">
      <c r="A40" t="s">
        <v>72</v>
      </c>
      <c r="B40" t="s">
        <v>102</v>
      </c>
      <c r="C40" s="13" t="s">
        <v>103</v>
      </c>
      <c r="D40">
        <v>4.25</v>
      </c>
      <c r="F40" s="1"/>
    </row>
    <row r="41" spans="1:6" x14ac:dyDescent="0.3">
      <c r="A41" t="s">
        <v>72</v>
      </c>
      <c r="B41" t="s">
        <v>104</v>
      </c>
      <c r="C41" s="13" t="s">
        <v>105</v>
      </c>
      <c r="D41">
        <v>1.25</v>
      </c>
      <c r="F41" s="1"/>
    </row>
    <row r="42" spans="1:6" x14ac:dyDescent="0.3">
      <c r="A42" t="s">
        <v>6</v>
      </c>
      <c r="B42" t="s">
        <v>106</v>
      </c>
      <c r="C42" s="3" t="s">
        <v>87</v>
      </c>
      <c r="D42">
        <v>2</v>
      </c>
    </row>
    <row r="43" spans="1:6" x14ac:dyDescent="0.3">
      <c r="A43" t="s">
        <v>6</v>
      </c>
      <c r="B43" t="s">
        <v>107</v>
      </c>
      <c r="C43" s="3" t="s">
        <v>88</v>
      </c>
      <c r="D43">
        <v>2</v>
      </c>
      <c r="F43" t="s">
        <v>89</v>
      </c>
    </row>
    <row r="44" spans="1:6" x14ac:dyDescent="0.3">
      <c r="A44" t="s">
        <v>6</v>
      </c>
      <c r="B44" t="s">
        <v>106</v>
      </c>
      <c r="C44" s="3" t="s">
        <v>108</v>
      </c>
      <c r="D44">
        <v>2</v>
      </c>
    </row>
    <row r="45" spans="1:6" x14ac:dyDescent="0.3">
      <c r="A45" t="s">
        <v>6</v>
      </c>
      <c r="B45" t="s">
        <v>107</v>
      </c>
      <c r="C45" s="3" t="s">
        <v>109</v>
      </c>
      <c r="D45">
        <v>4</v>
      </c>
      <c r="F45" t="s">
        <v>89</v>
      </c>
    </row>
    <row r="46" spans="1:6" x14ac:dyDescent="0.3">
      <c r="A46" t="s">
        <v>6</v>
      </c>
      <c r="B46" t="s">
        <v>93</v>
      </c>
      <c r="C46" s="3" t="s">
        <v>7</v>
      </c>
      <c r="D46">
        <v>0.03</v>
      </c>
      <c r="E46" t="s">
        <v>95</v>
      </c>
    </row>
    <row r="47" spans="1:6" x14ac:dyDescent="0.3">
      <c r="A47" t="s">
        <v>6</v>
      </c>
      <c r="B47" t="s">
        <v>30</v>
      </c>
      <c r="C47" s="3" t="s">
        <v>32</v>
      </c>
      <c r="D47">
        <v>0.01</v>
      </c>
      <c r="E47" t="s">
        <v>31</v>
      </c>
      <c r="F47" t="s">
        <v>96</v>
      </c>
    </row>
    <row r="48" spans="1:6" x14ac:dyDescent="0.3">
      <c r="A48" t="s">
        <v>6</v>
      </c>
      <c r="B48" t="s">
        <v>86</v>
      </c>
      <c r="C48" s="3" t="s">
        <v>119</v>
      </c>
      <c r="D48">
        <v>0.27</v>
      </c>
      <c r="E48" t="s">
        <v>120</v>
      </c>
    </row>
    <row r="49" spans="1:5" x14ac:dyDescent="0.3">
      <c r="A49" t="s">
        <v>6</v>
      </c>
      <c r="B49" t="s">
        <v>122</v>
      </c>
      <c r="C49" s="3" t="s">
        <v>121</v>
      </c>
      <c r="D49">
        <v>2028.5</v>
      </c>
      <c r="E49" t="s">
        <v>123</v>
      </c>
    </row>
    <row r="50" spans="1:5" x14ac:dyDescent="0.3">
      <c r="A50" t="s">
        <v>6</v>
      </c>
      <c r="B50" t="s">
        <v>157</v>
      </c>
      <c r="C50" s="3" t="s">
        <v>155</v>
      </c>
      <c r="D50">
        <v>0.5</v>
      </c>
    </row>
    <row r="51" spans="1:5" x14ac:dyDescent="0.3">
      <c r="A51" t="s">
        <v>6</v>
      </c>
      <c r="B51" t="s">
        <v>156</v>
      </c>
      <c r="C51" s="3" t="s">
        <v>158</v>
      </c>
      <c r="D51">
        <v>0.6</v>
      </c>
    </row>
    <row r="52" spans="1:5" x14ac:dyDescent="0.3">
      <c r="A52" t="s">
        <v>6</v>
      </c>
      <c r="B52" t="s">
        <v>163</v>
      </c>
      <c r="C52" s="3" t="s">
        <v>163</v>
      </c>
      <c r="D52">
        <v>0</v>
      </c>
      <c r="E52" t="s">
        <v>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B0FBB-7CC2-42FB-B919-41F4158D78FF}">
  <dimension ref="A1:F52"/>
  <sheetViews>
    <sheetView topLeftCell="A34" workbookViewId="0">
      <selection activeCell="D53" sqref="D53"/>
    </sheetView>
  </sheetViews>
  <sheetFormatPr defaultRowHeight="14.4" x14ac:dyDescent="0.3"/>
  <cols>
    <col min="1" max="1" width="14.6640625" customWidth="1"/>
    <col min="2" max="2" width="41.88671875" customWidth="1"/>
    <col min="3" max="3" width="55" customWidth="1"/>
    <col min="4" max="4" width="16.5546875" customWidth="1"/>
    <col min="5" max="5" width="9.109375" customWidth="1"/>
    <col min="6" max="6" width="22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12</v>
      </c>
      <c r="B2" t="s">
        <v>11</v>
      </c>
      <c r="C2" s="6" t="s">
        <v>13</v>
      </c>
      <c r="D2">
        <v>2026.5</v>
      </c>
      <c r="F2" s="1"/>
    </row>
    <row r="3" spans="1:6" x14ac:dyDescent="0.3">
      <c r="A3" t="s">
        <v>12</v>
      </c>
      <c r="B3" t="s">
        <v>16</v>
      </c>
      <c r="C3" s="6" t="s">
        <v>17</v>
      </c>
      <c r="D3">
        <v>2021</v>
      </c>
      <c r="F3" t="s">
        <v>18</v>
      </c>
    </row>
    <row r="4" spans="1:6" x14ac:dyDescent="0.3">
      <c r="A4" t="s">
        <v>12</v>
      </c>
      <c r="B4" t="s">
        <v>56</v>
      </c>
      <c r="C4" s="6" t="s">
        <v>58</v>
      </c>
      <c r="D4">
        <v>0.13500000000000001</v>
      </c>
    </row>
    <row r="5" spans="1:6" x14ac:dyDescent="0.3">
      <c r="A5" t="s">
        <v>12</v>
      </c>
      <c r="B5" t="s">
        <v>57</v>
      </c>
      <c r="C5" s="6" t="s">
        <v>59</v>
      </c>
      <c r="D5">
        <v>0.09</v>
      </c>
    </row>
    <row r="6" spans="1:6" x14ac:dyDescent="0.3">
      <c r="A6" t="s">
        <v>12</v>
      </c>
      <c r="B6" t="s">
        <v>60</v>
      </c>
      <c r="C6" s="6" t="s">
        <v>61</v>
      </c>
      <c r="D6">
        <v>0.13500000000000001</v>
      </c>
    </row>
    <row r="7" spans="1:6" x14ac:dyDescent="0.3">
      <c r="A7" t="s">
        <v>12</v>
      </c>
      <c r="B7" t="s">
        <v>111</v>
      </c>
      <c r="C7" s="6" t="s">
        <v>126</v>
      </c>
      <c r="D7">
        <v>0.5</v>
      </c>
      <c r="E7" t="s">
        <v>15</v>
      </c>
      <c r="F7" t="s">
        <v>71</v>
      </c>
    </row>
    <row r="8" spans="1:6" x14ac:dyDescent="0.3">
      <c r="A8" t="s">
        <v>14</v>
      </c>
      <c r="B8" t="s">
        <v>69</v>
      </c>
      <c r="C8" s="6" t="s">
        <v>68</v>
      </c>
      <c r="D8" s="17">
        <v>9.2999999999999999E-2</v>
      </c>
      <c r="E8" t="s">
        <v>15</v>
      </c>
      <c r="F8" t="s">
        <v>70</v>
      </c>
    </row>
    <row r="9" spans="1:6" x14ac:dyDescent="0.3">
      <c r="A9" t="s">
        <v>14</v>
      </c>
      <c r="B9" t="s">
        <v>52</v>
      </c>
      <c r="C9" s="6" t="s">
        <v>54</v>
      </c>
      <c r="D9" s="17">
        <v>0.1</v>
      </c>
      <c r="E9" t="s">
        <v>15</v>
      </c>
      <c r="F9" t="s">
        <v>137</v>
      </c>
    </row>
    <row r="10" spans="1:6" x14ac:dyDescent="0.3">
      <c r="A10" t="s">
        <v>14</v>
      </c>
      <c r="B10" t="s">
        <v>53</v>
      </c>
      <c r="C10" s="6" t="s">
        <v>55</v>
      </c>
      <c r="D10" s="17">
        <v>0.05</v>
      </c>
      <c r="E10" t="s">
        <v>15</v>
      </c>
      <c r="F10" t="s">
        <v>136</v>
      </c>
    </row>
    <row r="11" spans="1:6" x14ac:dyDescent="0.3">
      <c r="A11" s="8" t="s">
        <v>14</v>
      </c>
      <c r="B11" s="8" t="s">
        <v>36</v>
      </c>
      <c r="C11" s="9" t="s">
        <v>37</v>
      </c>
      <c r="D11" s="7">
        <v>0.16838500000000001</v>
      </c>
      <c r="E11" t="s">
        <v>15</v>
      </c>
      <c r="F11" t="s">
        <v>44</v>
      </c>
    </row>
    <row r="12" spans="1:6" x14ac:dyDescent="0.3">
      <c r="A12" t="s">
        <v>14</v>
      </c>
      <c r="B12" t="s">
        <v>34</v>
      </c>
      <c r="C12" s="10" t="s">
        <v>38</v>
      </c>
      <c r="D12" s="7">
        <v>7.2419999999999998E-2</v>
      </c>
      <c r="E12" t="s">
        <v>15</v>
      </c>
    </row>
    <row r="13" spans="1:6" x14ac:dyDescent="0.3">
      <c r="A13" s="11" t="s">
        <v>14</v>
      </c>
      <c r="B13" s="11" t="s">
        <v>35</v>
      </c>
      <c r="C13" s="12" t="s">
        <v>39</v>
      </c>
      <c r="D13" s="7">
        <v>0.19167500000000001</v>
      </c>
      <c r="E13" t="s">
        <v>15</v>
      </c>
    </row>
    <row r="14" spans="1:6" x14ac:dyDescent="0.3">
      <c r="A14" s="8" t="s">
        <v>14</v>
      </c>
      <c r="B14" s="8" t="s">
        <v>36</v>
      </c>
      <c r="C14" s="9" t="s">
        <v>46</v>
      </c>
      <c r="D14">
        <v>0.1981</v>
      </c>
      <c r="E14" t="s">
        <v>15</v>
      </c>
      <c r="F14" t="s">
        <v>43</v>
      </c>
    </row>
    <row r="15" spans="1:6" x14ac:dyDescent="0.3">
      <c r="A15" t="s">
        <v>14</v>
      </c>
      <c r="B15" t="s">
        <v>34</v>
      </c>
      <c r="C15" s="10" t="s">
        <v>47</v>
      </c>
      <c r="D15">
        <v>8.5199999999999998E-2</v>
      </c>
      <c r="E15" t="s">
        <v>15</v>
      </c>
    </row>
    <row r="16" spans="1:6" x14ac:dyDescent="0.3">
      <c r="A16" s="11" t="s">
        <v>14</v>
      </c>
      <c r="B16" s="11" t="s">
        <v>35</v>
      </c>
      <c r="C16" s="12" t="s">
        <v>48</v>
      </c>
      <c r="D16">
        <v>0.22550000000000001</v>
      </c>
      <c r="E16" t="s">
        <v>15</v>
      </c>
    </row>
    <row r="17" spans="1:6" x14ac:dyDescent="0.3">
      <c r="A17" s="8" t="s">
        <v>14</v>
      </c>
      <c r="B17" s="8" t="s">
        <v>36</v>
      </c>
      <c r="C17" s="9" t="s">
        <v>40</v>
      </c>
      <c r="D17" s="7">
        <v>0.21791000000000002</v>
      </c>
      <c r="E17" t="s">
        <v>15</v>
      </c>
      <c r="F17" t="s">
        <v>45</v>
      </c>
    </row>
    <row r="18" spans="1:6" x14ac:dyDescent="0.3">
      <c r="A18" t="s">
        <v>14</v>
      </c>
      <c r="B18" t="s">
        <v>34</v>
      </c>
      <c r="C18" s="10" t="s">
        <v>41</v>
      </c>
      <c r="D18" s="7">
        <v>0.10501000000000002</v>
      </c>
      <c r="E18" t="s">
        <v>15</v>
      </c>
      <c r="F18" s="7">
        <f>D17-D14</f>
        <v>1.9810000000000022E-2</v>
      </c>
    </row>
    <row r="19" spans="1:6" x14ac:dyDescent="0.3">
      <c r="A19" s="11" t="s">
        <v>14</v>
      </c>
      <c r="B19" s="11" t="s">
        <v>35</v>
      </c>
      <c r="C19" s="12" t="s">
        <v>42</v>
      </c>
      <c r="D19" s="7">
        <v>0.24531000000000003</v>
      </c>
      <c r="E19" t="s">
        <v>15</v>
      </c>
    </row>
    <row r="20" spans="1:6" x14ac:dyDescent="0.3">
      <c r="A20" s="8" t="s">
        <v>14</v>
      </c>
      <c r="B20" s="8" t="s">
        <v>36</v>
      </c>
      <c r="C20" s="9" t="s">
        <v>49</v>
      </c>
      <c r="D20" s="7">
        <v>0.25752999999999998</v>
      </c>
      <c r="E20" t="s">
        <v>15</v>
      </c>
      <c r="F20" t="s">
        <v>125</v>
      </c>
    </row>
    <row r="21" spans="1:6" x14ac:dyDescent="0.3">
      <c r="A21" t="s">
        <v>14</v>
      </c>
      <c r="B21" t="s">
        <v>34</v>
      </c>
      <c r="C21" s="10" t="s">
        <v>50</v>
      </c>
      <c r="D21" s="7">
        <v>0.14462999999999998</v>
      </c>
      <c r="E21" t="s">
        <v>15</v>
      </c>
      <c r="F21" s="7">
        <f>(D20-D14)</f>
        <v>5.9429999999999983E-2</v>
      </c>
    </row>
    <row r="22" spans="1:6" x14ac:dyDescent="0.3">
      <c r="A22" s="11" t="s">
        <v>14</v>
      </c>
      <c r="B22" s="11" t="s">
        <v>35</v>
      </c>
      <c r="C22" s="12" t="s">
        <v>51</v>
      </c>
      <c r="D22" s="7">
        <v>0.28493000000000002</v>
      </c>
      <c r="E22" t="s">
        <v>15</v>
      </c>
      <c r="F22" s="7"/>
    </row>
    <row r="23" spans="1:6" x14ac:dyDescent="0.3">
      <c r="A23" t="s">
        <v>14</v>
      </c>
      <c r="B23" t="s">
        <v>19</v>
      </c>
      <c r="C23" s="6" t="s">
        <v>20</v>
      </c>
      <c r="D23">
        <v>130</v>
      </c>
      <c r="E23" t="s">
        <v>21</v>
      </c>
      <c r="F23" s="1"/>
    </row>
    <row r="24" spans="1:6" x14ac:dyDescent="0.3">
      <c r="A24" t="s">
        <v>14</v>
      </c>
      <c r="B24" t="s">
        <v>26</v>
      </c>
      <c r="C24" s="6" t="s">
        <v>22</v>
      </c>
      <c r="D24">
        <v>215</v>
      </c>
      <c r="F24" s="1"/>
    </row>
    <row r="25" spans="1:6" x14ac:dyDescent="0.3">
      <c r="A25" t="s">
        <v>14</v>
      </c>
      <c r="B25" t="s">
        <v>27</v>
      </c>
      <c r="C25" s="6" t="s">
        <v>23</v>
      </c>
      <c r="D25">
        <v>265</v>
      </c>
      <c r="F25" s="1"/>
    </row>
    <row r="26" spans="1:6" x14ac:dyDescent="0.3">
      <c r="A26" t="s">
        <v>14</v>
      </c>
      <c r="B26" t="s">
        <v>28</v>
      </c>
      <c r="C26" s="6" t="s">
        <v>24</v>
      </c>
      <c r="D26">
        <v>320</v>
      </c>
      <c r="F26" s="1"/>
    </row>
    <row r="27" spans="1:6" x14ac:dyDescent="0.3">
      <c r="A27" t="s">
        <v>14</v>
      </c>
      <c r="B27" t="s">
        <v>29</v>
      </c>
      <c r="C27" s="6" t="s">
        <v>25</v>
      </c>
      <c r="D27">
        <v>350</v>
      </c>
      <c r="F27" s="1"/>
    </row>
    <row r="28" spans="1:6" x14ac:dyDescent="0.3">
      <c r="A28" t="s">
        <v>14</v>
      </c>
      <c r="B28" t="s">
        <v>67</v>
      </c>
      <c r="C28" s="6" t="s">
        <v>90</v>
      </c>
      <c r="D28">
        <v>75</v>
      </c>
      <c r="F28" s="1"/>
    </row>
    <row r="29" spans="1:6" x14ac:dyDescent="0.3">
      <c r="A29" t="s">
        <v>14</v>
      </c>
      <c r="B29" t="s">
        <v>65</v>
      </c>
      <c r="C29" s="6" t="s">
        <v>91</v>
      </c>
      <c r="D29">
        <v>0</v>
      </c>
      <c r="F29" s="1"/>
    </row>
    <row r="30" spans="1:6" x14ac:dyDescent="0.3">
      <c r="A30" t="s">
        <v>14</v>
      </c>
      <c r="B30" t="s">
        <v>66</v>
      </c>
      <c r="C30" s="6" t="s">
        <v>92</v>
      </c>
      <c r="D30">
        <v>0</v>
      </c>
      <c r="F30" s="1"/>
    </row>
    <row r="31" spans="1:6" x14ac:dyDescent="0.3">
      <c r="A31" t="s">
        <v>33</v>
      </c>
      <c r="B31" t="s">
        <v>62</v>
      </c>
      <c r="C31" s="6" t="s">
        <v>63</v>
      </c>
      <c r="D31">
        <v>12</v>
      </c>
      <c r="E31" t="s">
        <v>64</v>
      </c>
      <c r="F31" s="1"/>
    </row>
    <row r="32" spans="1:6" x14ac:dyDescent="0.3">
      <c r="A32" t="s">
        <v>72</v>
      </c>
      <c r="B32" t="s">
        <v>75</v>
      </c>
      <c r="C32" s="13" t="s">
        <v>73</v>
      </c>
      <c r="D32">
        <v>0.88</v>
      </c>
      <c r="E32" t="s">
        <v>72</v>
      </c>
      <c r="F32" s="1"/>
    </row>
    <row r="33" spans="1:6" x14ac:dyDescent="0.3">
      <c r="A33" t="s">
        <v>72</v>
      </c>
      <c r="B33" t="s">
        <v>76</v>
      </c>
      <c r="C33" s="13" t="s">
        <v>74</v>
      </c>
      <c r="D33">
        <v>0.88</v>
      </c>
      <c r="E33" t="s">
        <v>72</v>
      </c>
      <c r="F33" s="1"/>
    </row>
    <row r="34" spans="1:6" x14ac:dyDescent="0.3">
      <c r="A34" t="s">
        <v>72</v>
      </c>
      <c r="B34" t="s">
        <v>83</v>
      </c>
      <c r="C34" s="13" t="s">
        <v>84</v>
      </c>
      <c r="D34">
        <v>2.25</v>
      </c>
      <c r="E34" t="s">
        <v>127</v>
      </c>
      <c r="F34" s="1"/>
    </row>
    <row r="35" spans="1:6" x14ac:dyDescent="0.3">
      <c r="A35" t="s">
        <v>72</v>
      </c>
      <c r="B35" t="s">
        <v>77</v>
      </c>
      <c r="C35" s="13" t="s">
        <v>80</v>
      </c>
      <c r="D35">
        <v>0.61</v>
      </c>
      <c r="E35" t="s">
        <v>72</v>
      </c>
      <c r="F35" s="1"/>
    </row>
    <row r="36" spans="1:6" x14ac:dyDescent="0.3">
      <c r="A36" t="s">
        <v>72</v>
      </c>
      <c r="B36" t="s">
        <v>77</v>
      </c>
      <c r="C36" s="13" t="s">
        <v>85</v>
      </c>
      <c r="D36">
        <v>0.69</v>
      </c>
      <c r="E36" t="s">
        <v>72</v>
      </c>
      <c r="F36" s="1"/>
    </row>
    <row r="37" spans="1:6" x14ac:dyDescent="0.3">
      <c r="A37" t="s">
        <v>72</v>
      </c>
      <c r="B37" t="s">
        <v>78</v>
      </c>
      <c r="C37" s="13" t="s">
        <v>81</v>
      </c>
      <c r="D37">
        <v>0.7</v>
      </c>
      <c r="E37" t="s">
        <v>99</v>
      </c>
      <c r="F37" s="1"/>
    </row>
    <row r="38" spans="1:6" x14ac:dyDescent="0.3">
      <c r="A38" t="s">
        <v>72</v>
      </c>
      <c r="B38" t="s">
        <v>97</v>
      </c>
      <c r="C38" s="13" t="s">
        <v>98</v>
      </c>
      <c r="D38">
        <v>0.9</v>
      </c>
      <c r="E38" t="s">
        <v>100</v>
      </c>
      <c r="F38" s="1"/>
    </row>
    <row r="39" spans="1:6" x14ac:dyDescent="0.3">
      <c r="A39" t="s">
        <v>72</v>
      </c>
      <c r="B39" t="s">
        <v>79</v>
      </c>
      <c r="C39" s="13" t="s">
        <v>82</v>
      </c>
      <c r="D39">
        <v>0.45</v>
      </c>
      <c r="E39" t="s">
        <v>101</v>
      </c>
      <c r="F39" s="1"/>
    </row>
    <row r="40" spans="1:6" x14ac:dyDescent="0.3">
      <c r="A40" t="s">
        <v>72</v>
      </c>
      <c r="B40" t="s">
        <v>102</v>
      </c>
      <c r="C40" s="13" t="s">
        <v>103</v>
      </c>
      <c r="D40">
        <v>4.25</v>
      </c>
      <c r="F40" s="1"/>
    </row>
    <row r="41" spans="1:6" x14ac:dyDescent="0.3">
      <c r="A41" t="s">
        <v>72</v>
      </c>
      <c r="B41" t="s">
        <v>104</v>
      </c>
      <c r="C41" s="13" t="s">
        <v>105</v>
      </c>
      <c r="D41">
        <v>1.25</v>
      </c>
      <c r="F41" s="1"/>
    </row>
    <row r="42" spans="1:6" x14ac:dyDescent="0.3">
      <c r="A42" t="s">
        <v>6</v>
      </c>
      <c r="B42" t="s">
        <v>106</v>
      </c>
      <c r="C42" s="3" t="s">
        <v>87</v>
      </c>
      <c r="D42">
        <v>2</v>
      </c>
    </row>
    <row r="43" spans="1:6" x14ac:dyDescent="0.3">
      <c r="A43" t="s">
        <v>6</v>
      </c>
      <c r="B43" t="s">
        <v>107</v>
      </c>
      <c r="C43" s="3" t="s">
        <v>88</v>
      </c>
      <c r="D43">
        <v>2</v>
      </c>
      <c r="F43" t="s">
        <v>89</v>
      </c>
    </row>
    <row r="44" spans="1:6" x14ac:dyDescent="0.3">
      <c r="A44" t="s">
        <v>6</v>
      </c>
      <c r="B44" t="s">
        <v>106</v>
      </c>
      <c r="C44" s="3" t="s">
        <v>108</v>
      </c>
      <c r="D44">
        <v>2</v>
      </c>
    </row>
    <row r="45" spans="1:6" x14ac:dyDescent="0.3">
      <c r="A45" t="s">
        <v>6</v>
      </c>
      <c r="B45" t="s">
        <v>107</v>
      </c>
      <c r="C45" s="3" t="s">
        <v>109</v>
      </c>
      <c r="D45">
        <v>4</v>
      </c>
      <c r="F45" t="s">
        <v>89</v>
      </c>
    </row>
    <row r="46" spans="1:6" x14ac:dyDescent="0.3">
      <c r="A46" t="s">
        <v>6</v>
      </c>
      <c r="B46" t="s">
        <v>93</v>
      </c>
      <c r="C46" s="3" t="s">
        <v>7</v>
      </c>
      <c r="D46">
        <v>3.3000000000000002E-2</v>
      </c>
      <c r="E46" t="s">
        <v>95</v>
      </c>
    </row>
    <row r="47" spans="1:6" x14ac:dyDescent="0.3">
      <c r="A47" t="s">
        <v>6</v>
      </c>
      <c r="B47" t="s">
        <v>30</v>
      </c>
      <c r="C47" s="3" t="s">
        <v>32</v>
      </c>
      <c r="D47">
        <v>0.01</v>
      </c>
      <c r="E47" t="s">
        <v>31</v>
      </c>
      <c r="F47" t="s">
        <v>96</v>
      </c>
    </row>
    <row r="48" spans="1:6" x14ac:dyDescent="0.3">
      <c r="A48" t="s">
        <v>6</v>
      </c>
      <c r="B48" t="s">
        <v>86</v>
      </c>
      <c r="C48" s="3" t="s">
        <v>119</v>
      </c>
      <c r="D48">
        <v>0.27</v>
      </c>
      <c r="E48" t="s">
        <v>120</v>
      </c>
    </row>
    <row r="49" spans="1:5" x14ac:dyDescent="0.3">
      <c r="A49" t="s">
        <v>6</v>
      </c>
      <c r="B49" t="s">
        <v>122</v>
      </c>
      <c r="C49" s="3" t="s">
        <v>121</v>
      </c>
      <c r="D49">
        <v>2028.5</v>
      </c>
      <c r="E49" t="s">
        <v>123</v>
      </c>
    </row>
    <row r="50" spans="1:5" x14ac:dyDescent="0.3">
      <c r="A50" t="s">
        <v>6</v>
      </c>
      <c r="B50" t="s">
        <v>157</v>
      </c>
      <c r="C50" s="3" t="s">
        <v>155</v>
      </c>
      <c r="D50">
        <v>0.5</v>
      </c>
    </row>
    <row r="51" spans="1:5" x14ac:dyDescent="0.3">
      <c r="A51" t="s">
        <v>6</v>
      </c>
      <c r="B51" t="s">
        <v>156</v>
      </c>
      <c r="C51" s="3" t="s">
        <v>158</v>
      </c>
      <c r="D51">
        <v>0.6</v>
      </c>
    </row>
    <row r="52" spans="1:5" x14ac:dyDescent="0.3">
      <c r="A52" t="s">
        <v>6</v>
      </c>
      <c r="B52" t="s">
        <v>163</v>
      </c>
      <c r="C52" s="3" t="s">
        <v>163</v>
      </c>
      <c r="D52">
        <v>0</v>
      </c>
      <c r="E52" t="s">
        <v>164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51EF-BBD1-4820-B575-600BCC8F4568}">
  <dimension ref="A1:F52"/>
  <sheetViews>
    <sheetView tabSelected="1" topLeftCell="A30" workbookViewId="0">
      <selection activeCell="D53" sqref="D53"/>
    </sheetView>
  </sheetViews>
  <sheetFormatPr defaultRowHeight="14.4" x14ac:dyDescent="0.3"/>
  <cols>
    <col min="1" max="1" width="21.88671875" customWidth="1"/>
    <col min="2" max="2" width="40.5546875" customWidth="1"/>
    <col min="3" max="3" width="58.21875" customWidth="1"/>
    <col min="4" max="4" width="14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12</v>
      </c>
      <c r="B2" t="s">
        <v>11</v>
      </c>
      <c r="C2" s="6" t="s">
        <v>13</v>
      </c>
      <c r="D2">
        <v>2026.5</v>
      </c>
      <c r="F2" s="1"/>
    </row>
    <row r="3" spans="1:6" x14ac:dyDescent="0.3">
      <c r="A3" t="s">
        <v>12</v>
      </c>
      <c r="B3" t="s">
        <v>16</v>
      </c>
      <c r="C3" s="6" t="s">
        <v>17</v>
      </c>
      <c r="D3">
        <v>2021</v>
      </c>
      <c r="F3" t="s">
        <v>18</v>
      </c>
    </row>
    <row r="4" spans="1:6" x14ac:dyDescent="0.3">
      <c r="A4" t="s">
        <v>12</v>
      </c>
      <c r="B4" t="s">
        <v>56</v>
      </c>
      <c r="C4" s="6" t="s">
        <v>58</v>
      </c>
      <c r="D4">
        <v>0.13500000000000001</v>
      </c>
    </row>
    <row r="5" spans="1:6" x14ac:dyDescent="0.3">
      <c r="A5" t="s">
        <v>12</v>
      </c>
      <c r="B5" t="s">
        <v>57</v>
      </c>
      <c r="C5" s="6" t="s">
        <v>59</v>
      </c>
      <c r="D5">
        <v>0.09</v>
      </c>
    </row>
    <row r="6" spans="1:6" x14ac:dyDescent="0.3">
      <c r="A6" t="s">
        <v>12</v>
      </c>
      <c r="B6" t="s">
        <v>60</v>
      </c>
      <c r="C6" s="6" t="s">
        <v>61</v>
      </c>
      <c r="D6">
        <v>0.13500000000000001</v>
      </c>
    </row>
    <row r="7" spans="1:6" x14ac:dyDescent="0.3">
      <c r="A7" t="s">
        <v>12</v>
      </c>
      <c r="B7" t="s">
        <v>111</v>
      </c>
      <c r="C7" s="6" t="s">
        <v>126</v>
      </c>
      <c r="D7">
        <v>0.5</v>
      </c>
      <c r="E7" t="s">
        <v>15</v>
      </c>
      <c r="F7" t="s">
        <v>71</v>
      </c>
    </row>
    <row r="8" spans="1:6" x14ac:dyDescent="0.3">
      <c r="A8" t="s">
        <v>14</v>
      </c>
      <c r="B8" t="s">
        <v>69</v>
      </c>
      <c r="C8" s="6" t="s">
        <v>68</v>
      </c>
      <c r="D8" s="17">
        <v>9.2999999999999999E-2</v>
      </c>
      <c r="E8" t="s">
        <v>15</v>
      </c>
      <c r="F8" t="s">
        <v>70</v>
      </c>
    </row>
    <row r="9" spans="1:6" x14ac:dyDescent="0.3">
      <c r="A9" t="s">
        <v>14</v>
      </c>
      <c r="B9" t="s">
        <v>52</v>
      </c>
      <c r="C9" s="6" t="s">
        <v>54</v>
      </c>
      <c r="D9" s="17">
        <v>0.14000000000000001</v>
      </c>
      <c r="E9" t="s">
        <v>15</v>
      </c>
      <c r="F9" t="s">
        <v>135</v>
      </c>
    </row>
    <row r="10" spans="1:6" x14ac:dyDescent="0.3">
      <c r="A10" t="s">
        <v>14</v>
      </c>
      <c r="B10" t="s">
        <v>53</v>
      </c>
      <c r="C10" s="6" t="s">
        <v>55</v>
      </c>
      <c r="D10" s="17">
        <v>0.18</v>
      </c>
      <c r="E10" t="s">
        <v>15</v>
      </c>
      <c r="F10" s="1" t="s">
        <v>134</v>
      </c>
    </row>
    <row r="11" spans="1:6" x14ac:dyDescent="0.3">
      <c r="A11" s="8" t="s">
        <v>14</v>
      </c>
      <c r="B11" s="8" t="s">
        <v>36</v>
      </c>
      <c r="C11" s="9" t="s">
        <v>37</v>
      </c>
      <c r="D11" s="7">
        <v>0.16838500000000001</v>
      </c>
      <c r="E11" t="s">
        <v>15</v>
      </c>
      <c r="F11" t="s">
        <v>44</v>
      </c>
    </row>
    <row r="12" spans="1:6" x14ac:dyDescent="0.3">
      <c r="A12" t="s">
        <v>14</v>
      </c>
      <c r="B12" t="s">
        <v>34</v>
      </c>
      <c r="C12" s="10" t="s">
        <v>38</v>
      </c>
      <c r="D12" s="7">
        <v>7.2419999999999998E-2</v>
      </c>
      <c r="E12" t="s">
        <v>15</v>
      </c>
    </row>
    <row r="13" spans="1:6" x14ac:dyDescent="0.3">
      <c r="A13" s="11" t="s">
        <v>14</v>
      </c>
      <c r="B13" s="11" t="s">
        <v>35</v>
      </c>
      <c r="C13" s="12" t="s">
        <v>39</v>
      </c>
      <c r="D13" s="7">
        <v>0.19167500000000001</v>
      </c>
      <c r="E13" t="s">
        <v>15</v>
      </c>
    </row>
    <row r="14" spans="1:6" x14ac:dyDescent="0.3">
      <c r="A14" s="8" t="s">
        <v>14</v>
      </c>
      <c r="B14" s="8" t="s">
        <v>36</v>
      </c>
      <c r="C14" s="9" t="s">
        <v>46</v>
      </c>
      <c r="D14">
        <v>0.1981</v>
      </c>
      <c r="E14" t="s">
        <v>15</v>
      </c>
      <c r="F14" t="s">
        <v>43</v>
      </c>
    </row>
    <row r="15" spans="1:6" x14ac:dyDescent="0.3">
      <c r="A15" t="s">
        <v>14</v>
      </c>
      <c r="B15" t="s">
        <v>34</v>
      </c>
      <c r="C15" s="10" t="s">
        <v>47</v>
      </c>
      <c r="D15">
        <v>8.5199999999999998E-2</v>
      </c>
      <c r="E15" t="s">
        <v>15</v>
      </c>
    </row>
    <row r="16" spans="1:6" x14ac:dyDescent="0.3">
      <c r="A16" s="11" t="s">
        <v>14</v>
      </c>
      <c r="B16" s="11" t="s">
        <v>35</v>
      </c>
      <c r="C16" s="12" t="s">
        <v>48</v>
      </c>
      <c r="D16">
        <v>0.22550000000000001</v>
      </c>
      <c r="E16" t="s">
        <v>15</v>
      </c>
    </row>
    <row r="17" spans="1:6" x14ac:dyDescent="0.3">
      <c r="A17" s="8" t="s">
        <v>14</v>
      </c>
      <c r="B17" s="8" t="s">
        <v>36</v>
      </c>
      <c r="C17" s="9" t="s">
        <v>40</v>
      </c>
      <c r="D17" s="7">
        <v>0.21791000000000002</v>
      </c>
      <c r="E17" t="s">
        <v>15</v>
      </c>
      <c r="F17" t="s">
        <v>45</v>
      </c>
    </row>
    <row r="18" spans="1:6" x14ac:dyDescent="0.3">
      <c r="A18" t="s">
        <v>14</v>
      </c>
      <c r="B18" t="s">
        <v>34</v>
      </c>
      <c r="C18" s="10" t="s">
        <v>41</v>
      </c>
      <c r="D18" s="7">
        <v>0.10501000000000002</v>
      </c>
      <c r="E18" t="s">
        <v>15</v>
      </c>
      <c r="F18" s="7">
        <f>D17-D14</f>
        <v>1.9810000000000022E-2</v>
      </c>
    </row>
    <row r="19" spans="1:6" x14ac:dyDescent="0.3">
      <c r="A19" s="11" t="s">
        <v>14</v>
      </c>
      <c r="B19" s="11" t="s">
        <v>35</v>
      </c>
      <c r="C19" s="12" t="s">
        <v>42</v>
      </c>
      <c r="D19" s="7">
        <v>0.24531000000000003</v>
      </c>
      <c r="E19" t="s">
        <v>15</v>
      </c>
    </row>
    <row r="20" spans="1:6" x14ac:dyDescent="0.3">
      <c r="A20" s="8" t="s">
        <v>14</v>
      </c>
      <c r="B20" s="8" t="s">
        <v>36</v>
      </c>
      <c r="C20" s="9" t="s">
        <v>49</v>
      </c>
      <c r="D20" s="7">
        <v>0.25752999999999998</v>
      </c>
      <c r="E20" t="s">
        <v>15</v>
      </c>
      <c r="F20" t="s">
        <v>125</v>
      </c>
    </row>
    <row r="21" spans="1:6" x14ac:dyDescent="0.3">
      <c r="A21" t="s">
        <v>14</v>
      </c>
      <c r="B21" t="s">
        <v>34</v>
      </c>
      <c r="C21" s="10" t="s">
        <v>50</v>
      </c>
      <c r="D21" s="7">
        <v>0.14462999999999998</v>
      </c>
      <c r="E21" t="s">
        <v>15</v>
      </c>
      <c r="F21" s="7">
        <f>(D20-D14)</f>
        <v>5.9429999999999983E-2</v>
      </c>
    </row>
    <row r="22" spans="1:6" x14ac:dyDescent="0.3">
      <c r="A22" s="11" t="s">
        <v>14</v>
      </c>
      <c r="B22" s="11" t="s">
        <v>35</v>
      </c>
      <c r="C22" s="12" t="s">
        <v>51</v>
      </c>
      <c r="D22" s="7">
        <v>0.28493000000000002</v>
      </c>
      <c r="E22" t="s">
        <v>15</v>
      </c>
      <c r="F22" s="7"/>
    </row>
    <row r="23" spans="1:6" x14ac:dyDescent="0.3">
      <c r="A23" t="s">
        <v>14</v>
      </c>
      <c r="B23" t="s">
        <v>19</v>
      </c>
      <c r="C23" s="6" t="s">
        <v>20</v>
      </c>
      <c r="D23">
        <v>130</v>
      </c>
      <c r="E23" t="s">
        <v>21</v>
      </c>
      <c r="F23" s="1"/>
    </row>
    <row r="24" spans="1:6" x14ac:dyDescent="0.3">
      <c r="A24" t="s">
        <v>14</v>
      </c>
      <c r="B24" t="s">
        <v>26</v>
      </c>
      <c r="C24" s="6" t="s">
        <v>22</v>
      </c>
      <c r="D24">
        <v>215</v>
      </c>
      <c r="F24" s="1"/>
    </row>
    <row r="25" spans="1:6" x14ac:dyDescent="0.3">
      <c r="A25" t="s">
        <v>14</v>
      </c>
      <c r="B25" t="s">
        <v>27</v>
      </c>
      <c r="C25" s="6" t="s">
        <v>23</v>
      </c>
      <c r="D25">
        <v>265</v>
      </c>
      <c r="F25" s="1"/>
    </row>
    <row r="26" spans="1:6" x14ac:dyDescent="0.3">
      <c r="A26" t="s">
        <v>14</v>
      </c>
      <c r="B26" t="s">
        <v>28</v>
      </c>
      <c r="C26" s="6" t="s">
        <v>24</v>
      </c>
      <c r="D26">
        <v>320</v>
      </c>
      <c r="F26" s="1"/>
    </row>
    <row r="27" spans="1:6" x14ac:dyDescent="0.3">
      <c r="A27" t="s">
        <v>14</v>
      </c>
      <c r="B27" t="s">
        <v>29</v>
      </c>
      <c r="C27" s="6" t="s">
        <v>25</v>
      </c>
      <c r="D27">
        <v>350</v>
      </c>
      <c r="F27" s="1"/>
    </row>
    <row r="28" spans="1:6" x14ac:dyDescent="0.3">
      <c r="A28" t="s">
        <v>14</v>
      </c>
      <c r="B28" t="s">
        <v>67</v>
      </c>
      <c r="C28" s="6" t="s">
        <v>90</v>
      </c>
      <c r="D28">
        <v>75</v>
      </c>
      <c r="F28" s="1"/>
    </row>
    <row r="29" spans="1:6" x14ac:dyDescent="0.3">
      <c r="A29" t="s">
        <v>14</v>
      </c>
      <c r="B29" t="s">
        <v>65</v>
      </c>
      <c r="C29" s="6" t="s">
        <v>91</v>
      </c>
      <c r="D29">
        <v>0</v>
      </c>
      <c r="F29" s="1"/>
    </row>
    <row r="30" spans="1:6" x14ac:dyDescent="0.3">
      <c r="A30" t="s">
        <v>14</v>
      </c>
      <c r="B30" t="s">
        <v>66</v>
      </c>
      <c r="C30" s="6" t="s">
        <v>92</v>
      </c>
      <c r="D30">
        <v>0</v>
      </c>
      <c r="F30" s="1"/>
    </row>
    <row r="31" spans="1:6" x14ac:dyDescent="0.3">
      <c r="A31" t="s">
        <v>33</v>
      </c>
      <c r="B31" t="s">
        <v>62</v>
      </c>
      <c r="C31" s="6" t="s">
        <v>63</v>
      </c>
      <c r="D31">
        <v>12</v>
      </c>
      <c r="E31" t="s">
        <v>64</v>
      </c>
      <c r="F31" s="1"/>
    </row>
    <row r="32" spans="1:6" x14ac:dyDescent="0.3">
      <c r="A32" t="s">
        <v>72</v>
      </c>
      <c r="B32" t="s">
        <v>75</v>
      </c>
      <c r="C32" s="13" t="s">
        <v>73</v>
      </c>
      <c r="D32">
        <v>0.88</v>
      </c>
      <c r="E32" t="s">
        <v>72</v>
      </c>
      <c r="F32" s="1"/>
    </row>
    <row r="33" spans="1:6" x14ac:dyDescent="0.3">
      <c r="A33" t="s">
        <v>72</v>
      </c>
      <c r="B33" t="s">
        <v>76</v>
      </c>
      <c r="C33" s="13" t="s">
        <v>74</v>
      </c>
      <c r="D33">
        <v>0.88</v>
      </c>
      <c r="E33" t="s">
        <v>72</v>
      </c>
      <c r="F33" s="1"/>
    </row>
    <row r="34" spans="1:6" x14ac:dyDescent="0.3">
      <c r="A34" t="s">
        <v>72</v>
      </c>
      <c r="B34" t="s">
        <v>83</v>
      </c>
      <c r="C34" s="13" t="s">
        <v>84</v>
      </c>
      <c r="D34">
        <v>2.25</v>
      </c>
      <c r="E34" t="s">
        <v>127</v>
      </c>
      <c r="F34" s="1"/>
    </row>
    <row r="35" spans="1:6" x14ac:dyDescent="0.3">
      <c r="A35" t="s">
        <v>72</v>
      </c>
      <c r="B35" t="s">
        <v>77</v>
      </c>
      <c r="C35" s="13" t="s">
        <v>80</v>
      </c>
      <c r="D35">
        <v>0.61</v>
      </c>
      <c r="E35" t="s">
        <v>72</v>
      </c>
      <c r="F35" s="1"/>
    </row>
    <row r="36" spans="1:6" x14ac:dyDescent="0.3">
      <c r="A36" t="s">
        <v>72</v>
      </c>
      <c r="B36" t="s">
        <v>77</v>
      </c>
      <c r="C36" s="13" t="s">
        <v>85</v>
      </c>
      <c r="D36">
        <v>0.69</v>
      </c>
      <c r="E36" t="s">
        <v>72</v>
      </c>
      <c r="F36" s="1"/>
    </row>
    <row r="37" spans="1:6" x14ac:dyDescent="0.3">
      <c r="A37" t="s">
        <v>72</v>
      </c>
      <c r="B37" t="s">
        <v>78</v>
      </c>
      <c r="C37" s="13" t="s">
        <v>81</v>
      </c>
      <c r="D37">
        <v>0.7</v>
      </c>
      <c r="E37" t="s">
        <v>99</v>
      </c>
      <c r="F37" s="1"/>
    </row>
    <row r="38" spans="1:6" x14ac:dyDescent="0.3">
      <c r="A38" t="s">
        <v>72</v>
      </c>
      <c r="B38" t="s">
        <v>97</v>
      </c>
      <c r="C38" s="13" t="s">
        <v>98</v>
      </c>
      <c r="D38">
        <v>0.9</v>
      </c>
      <c r="E38" t="s">
        <v>100</v>
      </c>
      <c r="F38" s="1"/>
    </row>
    <row r="39" spans="1:6" x14ac:dyDescent="0.3">
      <c r="A39" t="s">
        <v>72</v>
      </c>
      <c r="B39" t="s">
        <v>79</v>
      </c>
      <c r="C39" s="13" t="s">
        <v>82</v>
      </c>
      <c r="D39">
        <v>0.45</v>
      </c>
      <c r="E39" t="s">
        <v>101</v>
      </c>
      <c r="F39" s="1"/>
    </row>
    <row r="40" spans="1:6" x14ac:dyDescent="0.3">
      <c r="A40" t="s">
        <v>72</v>
      </c>
      <c r="B40" t="s">
        <v>102</v>
      </c>
      <c r="C40" s="13" t="s">
        <v>103</v>
      </c>
      <c r="D40">
        <v>4.25</v>
      </c>
      <c r="F40" s="1"/>
    </row>
    <row r="41" spans="1:6" x14ac:dyDescent="0.3">
      <c r="A41" t="s">
        <v>72</v>
      </c>
      <c r="B41" t="s">
        <v>104</v>
      </c>
      <c r="C41" s="13" t="s">
        <v>105</v>
      </c>
      <c r="D41">
        <v>1.25</v>
      </c>
      <c r="F41" s="1"/>
    </row>
    <row r="42" spans="1:6" x14ac:dyDescent="0.3">
      <c r="A42" t="s">
        <v>6</v>
      </c>
      <c r="B42" t="s">
        <v>106</v>
      </c>
      <c r="C42" s="3" t="s">
        <v>87</v>
      </c>
      <c r="D42">
        <v>2</v>
      </c>
    </row>
    <row r="43" spans="1:6" x14ac:dyDescent="0.3">
      <c r="A43" t="s">
        <v>6</v>
      </c>
      <c r="B43" t="s">
        <v>107</v>
      </c>
      <c r="C43" s="3" t="s">
        <v>88</v>
      </c>
      <c r="D43">
        <v>2</v>
      </c>
      <c r="F43" t="s">
        <v>89</v>
      </c>
    </row>
    <row r="44" spans="1:6" x14ac:dyDescent="0.3">
      <c r="A44" t="s">
        <v>6</v>
      </c>
      <c r="B44" t="s">
        <v>106</v>
      </c>
      <c r="C44" s="3" t="s">
        <v>108</v>
      </c>
      <c r="D44">
        <v>2</v>
      </c>
    </row>
    <row r="45" spans="1:6" x14ac:dyDescent="0.3">
      <c r="A45" t="s">
        <v>6</v>
      </c>
      <c r="B45" t="s">
        <v>107</v>
      </c>
      <c r="C45" s="3" t="s">
        <v>109</v>
      </c>
      <c r="D45">
        <v>4</v>
      </c>
      <c r="F45" t="s">
        <v>89</v>
      </c>
    </row>
    <row r="46" spans="1:6" x14ac:dyDescent="0.3">
      <c r="A46" t="s">
        <v>6</v>
      </c>
      <c r="B46" t="s">
        <v>93</v>
      </c>
      <c r="C46" s="3" t="s">
        <v>7</v>
      </c>
      <c r="D46">
        <v>0.03</v>
      </c>
      <c r="E46" t="s">
        <v>95</v>
      </c>
    </row>
    <row r="47" spans="1:6" x14ac:dyDescent="0.3">
      <c r="A47" t="s">
        <v>6</v>
      </c>
      <c r="B47" t="s">
        <v>30</v>
      </c>
      <c r="C47" s="3" t="s">
        <v>32</v>
      </c>
      <c r="D47">
        <v>0.01</v>
      </c>
      <c r="E47" t="s">
        <v>31</v>
      </c>
      <c r="F47" t="s">
        <v>96</v>
      </c>
    </row>
    <row r="48" spans="1:6" x14ac:dyDescent="0.3">
      <c r="A48" t="s">
        <v>6</v>
      </c>
      <c r="B48" t="s">
        <v>86</v>
      </c>
      <c r="C48" s="3" t="s">
        <v>119</v>
      </c>
      <c r="D48">
        <v>0.27</v>
      </c>
      <c r="E48" t="s">
        <v>120</v>
      </c>
    </row>
    <row r="49" spans="1:5" x14ac:dyDescent="0.3">
      <c r="A49" t="s">
        <v>6</v>
      </c>
      <c r="B49" t="s">
        <v>122</v>
      </c>
      <c r="C49" s="3" t="s">
        <v>121</v>
      </c>
      <c r="D49">
        <v>2028.5</v>
      </c>
      <c r="E49" t="s">
        <v>123</v>
      </c>
    </row>
    <row r="50" spans="1:5" x14ac:dyDescent="0.3">
      <c r="A50" t="s">
        <v>6</v>
      </c>
      <c r="B50" t="s">
        <v>157</v>
      </c>
      <c r="C50" s="3" t="s">
        <v>155</v>
      </c>
      <c r="D50">
        <v>0.5</v>
      </c>
    </row>
    <row r="51" spans="1:5" x14ac:dyDescent="0.3">
      <c r="A51" t="s">
        <v>6</v>
      </c>
      <c r="B51" t="s">
        <v>156</v>
      </c>
      <c r="C51" s="3" t="s">
        <v>158</v>
      </c>
      <c r="D51">
        <v>0.6</v>
      </c>
    </row>
    <row r="52" spans="1:5" x14ac:dyDescent="0.3">
      <c r="A52" t="s">
        <v>6</v>
      </c>
      <c r="B52" t="s">
        <v>163</v>
      </c>
      <c r="C52" s="3" t="s">
        <v>163</v>
      </c>
      <c r="D52">
        <v>0</v>
      </c>
      <c r="E52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Base</vt:lpstr>
      <vt:lpstr>EDSC</vt:lpstr>
      <vt:lpstr>LDSC</vt:lpstr>
      <vt:lpstr>LowPrice</vt:lpstr>
      <vt:lpstr>HighPrice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</dc:creator>
  <cp:lastModifiedBy>Joe Wheatley</cp:lastModifiedBy>
  <dcterms:created xsi:type="dcterms:W3CDTF">2022-12-20T14:56:50Z</dcterms:created>
  <dcterms:modified xsi:type="dcterms:W3CDTF">2026-10-14T09:21:12Z</dcterms:modified>
</cp:coreProperties>
</file>